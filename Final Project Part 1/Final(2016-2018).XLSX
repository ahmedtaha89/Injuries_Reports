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Open Data\Injuries_Reports\Final Project Part 1\"/>
    </mc:Choice>
  </mc:AlternateContent>
  <xr:revisionPtr revIDLastSave="0" documentId="13_ncr:1_{B2E98390-DF36-4FF4-B0B4-6DB5B444793B}" xr6:coauthVersionLast="47" xr6:coauthVersionMax="47" xr10:uidLastSave="{00000000-0000-0000-0000-000000000000}"/>
  <bookViews>
    <workbookView xWindow="-108" yWindow="-108" windowWidth="23256" windowHeight="12576" tabRatio="722" activeTab="1" xr2:uid="{00000000-000D-0000-FFFF-FFFF00000000}"/>
  </bookViews>
  <sheets>
    <sheet name="Economic_Activity " sheetId="1" r:id="rId1"/>
    <sheet name=" Occupation_Group" sheetId="2" r:id="rId2"/>
    <sheet name=" Recovery_Situation" sheetId="3" r:id="rId3"/>
    <sheet name="Nationality_and_Gender" sheetId="4" r:id="rId4"/>
    <sheet name=" Injury_Cause" sheetId="5" r:id="rId5"/>
    <sheet name=" Age_Categories" sheetId="6" r:id="rId6"/>
  </sheets>
  <definedNames>
    <definedName name="ExternalData_1" localSheetId="5" hidden="1">' Age_Categories'!$A$1:$M$260</definedName>
    <definedName name="ExternalData_1" localSheetId="4" hidden="1">' Injury_Cause'!$A$1:$M$260</definedName>
    <definedName name="ExternalData_1" localSheetId="1" hidden="1">' Occupation_Group'!$A$1:$M$217</definedName>
    <definedName name="ExternalData_1" localSheetId="2" hidden="1">' Recovery_Situation'!$A$1:$G$195</definedName>
    <definedName name="ExternalData_1" localSheetId="0" hidden="1">'Economic_Activity '!$A$1:$M$260</definedName>
    <definedName name="ExternalData_1" localSheetId="3" hidden="1">Nationality_and_Gender!$A$1:$G$259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2017_43c558e2-ead9-4d9d-b07b-8dd355bbd438" name="Table1_2017" connection="Query - Table1_2017"/>
        </x15:modelTables>
      </x15:dataModel>
    </ext>
  </extLst>
</workbook>
</file>

<file path=xl/calcChain.xml><?xml version="1.0" encoding="utf-8"?>
<calcChain xmlns="http://schemas.openxmlformats.org/spreadsheetml/2006/main">
  <c r="N2" i="5" l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" i="6"/>
  <c r="N3" i="6"/>
  <c r="N4" i="6"/>
  <c r="N5" i="6"/>
  <c r="N6" i="6"/>
  <c r="N7" i="6"/>
  <c r="N261" i="6" s="1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N26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E40317-C77C-48D6-9732-CF6589353CA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C625CDF-212E-4866-8CC1-8E34A1A0F3CF}" keepAlive="1" name="Query - Table1_2016" description="Connection to the 'Table1_2016' query in the workbook." type="5" refreshedVersion="0" background="1">
    <dbPr connection="Provider=Microsoft.Mashup.OleDb.1;Data Source=$Workbook$;Location=Table1_2016;Extended Properties=&quot;&quot;" command="SELECT * FROM [Table1_2016]"/>
  </connection>
  <connection id="3" xr16:uid="{B9786BCC-A7A7-4C70-A8CE-95217F952820}" name="Query - Table1_2017" description="Connection to the 'Table1_2017' query in the workbook." type="100" refreshedVersion="8" minRefreshableVersion="5">
    <extLst>
      <ext xmlns:x15="http://schemas.microsoft.com/office/spreadsheetml/2010/11/main" uri="{DE250136-89BD-433C-8126-D09CA5730AF9}">
        <x15:connection id="a57b35e0-ee2c-4887-b65e-6d268b743de4">
          <x15:oledbPr connection="Provider=Microsoft.Mashup.OleDb.1;Data Source=$Workbook$;Location=Table1_2017;Extended Properties=&quot;&quot;">
            <x15:dbTables>
              <x15:dbTable name="Table1_2017"/>
            </x15:dbTables>
          </x15:oledbPr>
        </x15:connection>
      </ext>
    </extLst>
  </connection>
  <connection id="4" xr16:uid="{21889F77-30C3-4E5B-8017-DBF89597516F}" keepAlive="1" name="Query - Table1_2018" description="Connection to the 'Table1_2018' query in the workbook." type="5" refreshedVersion="0" background="1">
    <dbPr connection="Provider=Microsoft.Mashup.OleDb.1;Data Source=$Workbook$;Location=Table1_2018;Extended Properties=&quot;&quot;" command="SELECT * FROM [Table1_2018]"/>
  </connection>
  <connection id="5" xr16:uid="{482F27A7-297A-416B-A9AC-8A0E44EFD311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6" xr16:uid="{CD5F21D0-19B1-42C7-BD0E-719222F953C3}" keepAlive="1" name="Query - Table2_2016" description="Connection to the 'Table2_2016' query in the workbook." type="5" refreshedVersion="0" background="1">
    <dbPr connection="Provider=Microsoft.Mashup.OleDb.1;Data Source=$Workbook$;Location=Table2_2016;Extended Properties=&quot;&quot;" command="SELECT * FROM [Table2_2016]"/>
  </connection>
  <connection id="7" xr16:uid="{92622727-C818-4F0F-A775-59305193B49A}" keepAlive="1" name="Query - Table2_2017" description="Connection to the 'Table2_2017' query in the workbook." type="5" refreshedVersion="0" background="1">
    <dbPr connection="Provider=Microsoft.Mashup.OleDb.1;Data Source=$Workbook$;Location=Table2_2017;Extended Properties=&quot;&quot;" command="SELECT * FROM [Table2_2017]"/>
  </connection>
  <connection id="8" xr16:uid="{BF34E65A-41CB-40E5-9CC9-8D22DDF3CB89}" keepAlive="1" name="Query - Table2_2018" description="Connection to the 'Table2_2018' query in the workbook." type="5" refreshedVersion="0" background="1">
    <dbPr connection="Provider=Microsoft.Mashup.OleDb.1;Data Source=$Workbook$;Location=Table2_2018;Extended Properties=&quot;&quot;" command="SELECT * FROM [Table2_2018]"/>
  </connection>
  <connection id="9" xr16:uid="{E269EE33-92A7-48DE-B3ED-C8C367E0649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10" xr16:uid="{1AF6F387-1ADC-48ED-9A67-62B65FC826CD}" keepAlive="1" name="Query - Table3_2016" description="Connection to the 'Table3_2016' query in the workbook." type="5" refreshedVersion="0" background="1">
    <dbPr connection="Provider=Microsoft.Mashup.OleDb.1;Data Source=$Workbook$;Location=Table3_2016;Extended Properties=&quot;&quot;" command="SELECT * FROM [Table3_2016]"/>
  </connection>
  <connection id="11" xr16:uid="{C6D7B53A-6AF4-4E6E-8771-1F4F659DE1FB}" keepAlive="1" name="Query - Table3_2017" description="Connection to the 'Table3_2017' query in the workbook." type="5" refreshedVersion="0" background="1">
    <dbPr connection="Provider=Microsoft.Mashup.OleDb.1;Data Source=$Workbook$;Location=Table3_2017;Extended Properties=&quot;&quot;" command="SELECT * FROM [Table3_2017]"/>
  </connection>
  <connection id="12" xr16:uid="{14D3CFC7-29C8-45C7-8E1D-74845B84B56F}" keepAlive="1" name="Query - Table3_2018" description="Connection to the 'Table3_2018' query in the workbook." type="5" refreshedVersion="0" background="1">
    <dbPr connection="Provider=Microsoft.Mashup.OleDb.1;Data Source=$Workbook$;Location=Table3_2018;Extended Properties=&quot;&quot;" command="SELECT * FROM [Table3_2018]"/>
  </connection>
  <connection id="13" xr16:uid="{CA8D4091-F216-4A9D-8393-A06FE6333492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14" xr16:uid="{FB13FBB7-E2CF-4983-B712-7A3F404DEB6E}" keepAlive="1" name="Query - Table4_2016" description="Connection to the 'Table4_2016' query in the workbook." type="5" refreshedVersion="0" background="1">
    <dbPr connection="Provider=Microsoft.Mashup.OleDb.1;Data Source=$Workbook$;Location=Table4_2016;Extended Properties=&quot;&quot;" command="SELECT * FROM [Table4_2016]"/>
  </connection>
  <connection id="15" xr16:uid="{E044A95D-B5BF-458E-9C0C-E73090E93153}" keepAlive="1" name="Query - Table4_2017" description="Connection to the 'Table4_2017' query in the workbook." type="5" refreshedVersion="0" background="1">
    <dbPr connection="Provider=Microsoft.Mashup.OleDb.1;Data Source=$Workbook$;Location=Table4_2017;Extended Properties=&quot;&quot;" command="SELECT * FROM [Table4_2017]"/>
  </connection>
  <connection id="16" xr16:uid="{E9EAD6E9-B967-4D04-A270-950059C5E6BE}" keepAlive="1" name="Query - Table4_2018" description="Connection to the 'Table4_2018' query in the workbook." type="5" refreshedVersion="0" background="1">
    <dbPr connection="Provider=Microsoft.Mashup.OleDb.1;Data Source=$Workbook$;Location=Table4_2018;Extended Properties=&quot;&quot;" command="SELECT * FROM [Table4_2018]"/>
  </connection>
  <connection id="17" xr16:uid="{68C6CBBA-2D19-4428-BB0D-E3CD0E679955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18" xr16:uid="{0380F8E7-5E0F-4046-B105-E3DCE09F5F20}" keepAlive="1" name="Query - Table5_2016" description="Connection to the 'Table5_2016' query in the workbook." type="5" refreshedVersion="0" background="1">
    <dbPr connection="Provider=Microsoft.Mashup.OleDb.1;Data Source=$Workbook$;Location=Table5_2016;Extended Properties=&quot;&quot;" command="SELECT * FROM [Table5_2016]"/>
  </connection>
  <connection id="19" xr16:uid="{1187A9CA-D30E-4B80-BF50-0B499448540B}" keepAlive="1" name="Query - Table5_2017" description="Connection to the 'Table5_2017' query in the workbook." type="5" refreshedVersion="0" background="1">
    <dbPr connection="Provider=Microsoft.Mashup.OleDb.1;Data Source=$Workbook$;Location=Table5_2017;Extended Properties=&quot;&quot;" command="SELECT * FROM [Table5_2017]"/>
  </connection>
  <connection id="20" xr16:uid="{D16ED64A-C4DE-4310-A17A-5183698DCD6E}" keepAlive="1" name="Query - Table5_2018" description="Connection to the 'Table5_2018' query in the workbook." type="5" refreshedVersion="0" background="1">
    <dbPr connection="Provider=Microsoft.Mashup.OleDb.1;Data Source=$Workbook$;Location=Table5_2018;Extended Properties=&quot;&quot;" command="SELECT * FROM [Table5_2018]"/>
  </connection>
  <connection id="21" xr16:uid="{8446ACE7-F980-4CF4-974B-10863EA73400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2" xr16:uid="{5AA9BE32-AA87-4DDD-829A-BC6F5D018C88}" keepAlive="1" name="Query - Table6_2016" description="Connection to the 'Table6_2016' query in the workbook." type="5" refreshedVersion="0" background="1">
    <dbPr connection="Provider=Microsoft.Mashup.OleDb.1;Data Source=$Workbook$;Location=Table6_2016;Extended Properties=&quot;&quot;" command="SELECT * FROM [Table6_2016]"/>
  </connection>
  <connection id="23" xr16:uid="{A511D4F8-1FA2-423D-835D-D6E90E2CD494}" keepAlive="1" name="Query - Table6_2017" description="Connection to the 'Table6_2017' query in the workbook." type="5" refreshedVersion="0" background="1">
    <dbPr connection="Provider=Microsoft.Mashup.OleDb.1;Data Source=$Workbook$;Location=Table6_2017;Extended Properties=&quot;&quot;" command="SELECT * FROM [Table6_2017]"/>
  </connection>
  <connection id="24" xr16:uid="{04F1061C-B695-4363-BE07-92B05EC566DC}" keepAlive="1" name="Query - Table6_2018" description="Connection to the 'Table6_2018' query in the workbook." type="5" refreshedVersion="0" background="1">
    <dbPr connection="Provider=Microsoft.Mashup.OleDb.1;Data Source=$Workbook$;Location=Table6_2018;Extended Properties=&quot;&quot;" command="SELECT * FROM [Table6_2018]"/>
  </connection>
  <connection id="25" xr16:uid="{65ABFAD0-A10C-4CD3-AD6D-0F685333827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<sst xmlns="http://schemas.openxmlformats.org/spreadsheetml/2006/main" count="2983" uniqueCount="81">
  <si>
    <t>Office name</t>
  </si>
  <si>
    <t>Riyadh Office</t>
  </si>
  <si>
    <t>Q1</t>
  </si>
  <si>
    <t>Al Qassem Office</t>
  </si>
  <si>
    <t>Hail Office</t>
  </si>
  <si>
    <t>Al Kharj Office</t>
  </si>
  <si>
    <t>Makkah/Jeddah Office</t>
  </si>
  <si>
    <t>Makkah Office</t>
  </si>
  <si>
    <t>Madinah Office</t>
  </si>
  <si>
    <t>Tabouk Office</t>
  </si>
  <si>
    <t>Al Taif Office</t>
  </si>
  <si>
    <t>Yanbu Office</t>
  </si>
  <si>
    <t>Eastren Region Office</t>
  </si>
  <si>
    <t>Ahsa Office</t>
  </si>
  <si>
    <t>Al Jouf Office</t>
  </si>
  <si>
    <t>Jubail Office</t>
  </si>
  <si>
    <t>Hafer Al-Batin Office</t>
  </si>
  <si>
    <t>Northren Borders Office</t>
  </si>
  <si>
    <t>Assir Office</t>
  </si>
  <si>
    <t>Jazan Office</t>
  </si>
  <si>
    <t>Al Baha Office</t>
  </si>
  <si>
    <t>Najran Office</t>
  </si>
  <si>
    <t>Bisha Office</t>
  </si>
  <si>
    <t>Dawadmi Office</t>
  </si>
  <si>
    <t>Q2</t>
  </si>
  <si>
    <t>Q3</t>
  </si>
  <si>
    <t>Q4</t>
  </si>
  <si>
    <t>Saudi-Male</t>
  </si>
  <si>
    <t>Saudi-Female</t>
  </si>
  <si>
    <t>Non-Saudi-Male</t>
  </si>
  <si>
    <t>Non-Saudi-Female</t>
  </si>
  <si>
    <t>15 ~ 19</t>
  </si>
  <si>
    <t>20 ~ 24</t>
  </si>
  <si>
    <t>25 ~ 29</t>
  </si>
  <si>
    <t>30 ~ 34</t>
  </si>
  <si>
    <t>35 ~ 39</t>
  </si>
  <si>
    <t>40 ~ 44</t>
  </si>
  <si>
    <t>45 ~ 49</t>
  </si>
  <si>
    <t>50 ~ 54</t>
  </si>
  <si>
    <t>55 ~ 59</t>
  </si>
  <si>
    <t>&gt;= 60</t>
  </si>
  <si>
    <t>a</t>
  </si>
  <si>
    <t>11//10/2016</t>
  </si>
  <si>
    <t xml:space="preserve">
Post and Telecommunications</t>
  </si>
  <si>
    <t>Commerce</t>
  </si>
  <si>
    <t>Construction</t>
  </si>
  <si>
    <t>Mining and Quarrying</t>
  </si>
  <si>
    <t>Community services and Other Social services</t>
  </si>
  <si>
    <t>Agriculture and Fishing</t>
  </si>
  <si>
    <t>Manufacturing industries</t>
  </si>
  <si>
    <t>Electricity, Gas and Water</t>
  </si>
  <si>
    <t>Finance, Insurance, Real estate and Business services</t>
  </si>
  <si>
    <t>Year</t>
  </si>
  <si>
    <t>Quarter</t>
  </si>
  <si>
    <t>Specialists in scientific, technical and humanity subject</t>
  </si>
  <si>
    <t>Technicians in scientific, technical and humanity subject</t>
  </si>
  <si>
    <t>Clerical occupations</t>
  </si>
  <si>
    <t>Basic engineering professions</t>
  </si>
  <si>
    <t>Managers and business managers</t>
  </si>
  <si>
    <t>Sales occupations</t>
  </si>
  <si>
    <t>Service occupations</t>
  </si>
  <si>
    <t>Agriculture, hunting and animal husbandry</t>
  </si>
  <si>
    <t>Industrial/chemical processes and food industries</t>
  </si>
  <si>
    <t>Other occupations</t>
  </si>
  <si>
    <t>Cured Without Disability</t>
  </si>
  <si>
    <t>Cured With Disability</t>
  </si>
  <si>
    <t>Under recovery</t>
  </si>
  <si>
    <t>Death</t>
  </si>
  <si>
    <t>CAUGHT IN</t>
  </si>
  <si>
    <t>Struck and Collision</t>
  </si>
  <si>
    <t>Rubbed and Abrasion</t>
  </si>
  <si>
    <t>Fall</t>
  </si>
  <si>
    <t> Transport and car Accidents</t>
  </si>
  <si>
    <t>OVERE</t>
  </si>
  <si>
    <t>BODILY REACTION</t>
  </si>
  <si>
    <t>CONTACT WITH TEMPERATURE EXTREMES</t>
  </si>
  <si>
    <t>CONTACT WITH RADIATION and CAUSTICS</t>
  </si>
  <si>
    <t>Other Accidents</t>
  </si>
  <si>
    <t>Column1</t>
  </si>
  <si>
    <t>Sum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</si>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</sst>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7F794E-1394-4616-9E8B-E479CA305738}" autoFormatId="16" applyNumberFormats="0" applyBorderFormats="0" applyFontFormats="0" applyPatternFormats="0" applyAlignmentFormats="0" applyWidthHeightFormats="0">
  <queryTableRefresh nextId="16">
    <queryTableFields count="13">
      <queryTableField id="1" name="Office name" tableColumnId="15"/>
      <queryTableField id="2" name="البريد والاتصالات السلكية واللاسلكية_x000a_Post and Telecommunications" tableColumnId="2"/>
      <queryTableField id="3" name="التجارة_x000a_Commerce" tableColumnId="3"/>
      <queryTableField id="4" name="التشييد والبناء_x000a_Construction" tableColumnId="4"/>
      <queryTableField id="5" name="التعدين والبترول واستغلال المحاجر_x000a_Mining and Quarrying" tableColumnId="5"/>
      <queryTableField id="6" name="الخدمات الجماعية والإجتماعية الأخرى_x000a_Community services and Other Social services" tableColumnId="6"/>
      <queryTableField id="7" name="الزراعة والصيد_x000a_Agriculture and Fishing" tableColumnId="7"/>
      <queryTableField id="8" name="الصناعات التحويلية_x000a_Manufacturing industries" tableColumnId="8"/>
      <queryTableField id="9" name="الكهرباء والغاز والمياه_x000a_Electricity, Gas and Water" tableColumnId="9"/>
      <queryTableField id="10" name="المال والتأمين والعقار وخدمات الاعمال_x000a_Finance, Insurance, Real estate and Business services" tableColumnId="10"/>
      <queryTableField id="15" dataBound="0" tableColumnId="1"/>
      <queryTableField id="13" name="السنة" tableColumnId="13"/>
      <queryTableField id="14" name="الربع" tableColumnId="14"/>
    </queryTableFields>
    <queryTableDeletedFields count="2">
      <deletedField name="اسم المكتب"/>
      <deletedField name="أنشطة أخرى_x000a_Other Activitie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926DEC1-7113-498F-B4F8-C61E2889EEE4}" autoFormatId="16" applyNumberFormats="0" applyBorderFormats="0" applyFontFormats="0" applyPatternFormats="0" applyAlignmentFormats="0" applyWidthHeightFormats="0">
  <queryTableRefresh nextId="15">
    <queryTableFields count="13">
      <queryTableField id="1" name="Office name" tableColumnId="15"/>
      <queryTableField id="2" name="الاختصاصيون في المواضيع العلمية والفنية والإنسانية_x000a_Specialists in scientific, technical and humanity subject" tableColumnId="2"/>
      <queryTableField id="3" name="الفنيون في المواضيع العلمية والفنية والإنسانية_x000a_Technicians in scientific, technical and humanity subject" tableColumnId="3"/>
      <queryTableField id="4" name="المهن الكتابية_x000a_Clerical occupations" tableColumnId="4"/>
      <queryTableField id="5" name="المهن الهندسية الأساسية المساعدة_x000a_Basic engineering professions" tableColumnId="5"/>
      <queryTableField id="6" name="المديرون ومديرو الأعمال_x000a_Managers and business managers" tableColumnId="6"/>
      <queryTableField id="7" name="مهن البيع_x000a_Sales occupations" tableColumnId="7"/>
      <queryTableField id="8" name="مهن الخدمات_x000a_Service occupations" tableColumnId="8"/>
      <queryTableField id="9" name="مهن الزراعة والصيد وتربية الحيوان والطيور_x000a_Agriculture, hunting and animal husbandry" tableColumnId="9"/>
      <queryTableField id="10" name="مهن العمليات الصناعية والكيميائية والصناعات الغذائية_x000a_Industrial/chemical processes and food industries" tableColumnId="10"/>
      <queryTableField id="11" name="مهن أخرى_x000a_Other occupations" tableColumnId="11"/>
      <queryTableField id="13" name="السنة" tableColumnId="13"/>
      <queryTableField id="14" name="الربع" tableColumnId="14"/>
    </queryTableFields>
    <queryTableDeletedFields count="1">
      <deletedField name="اسم المكتب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FD1EF71-FAF6-42A5-93AE-17A97A254366}" autoFormatId="16" applyNumberFormats="0" applyBorderFormats="0" applyFontFormats="0" applyPatternFormats="0" applyAlignmentFormats="0" applyWidthHeightFormats="0">
  <queryTableRefresh nextId="9">
    <queryTableFields count="7">
      <queryTableField id="1" name="Office name" tableColumnId="9"/>
      <queryTableField id="2" name="شفاء بدون عجز_x000a_Cured Without Disability" tableColumnId="2"/>
      <queryTableField id="3" name="شفاء بعجز_x000a_Cured With Disability" tableColumnId="3"/>
      <queryTableField id="4" name="وفاة_x000a_Death" tableColumnId="4"/>
      <queryTableField id="5" name="تحت العلاج_x000a_Under recovery" tableColumnId="5"/>
      <queryTableField id="7" name="السنة" tableColumnId="7"/>
      <queryTableField id="8" name="الربع" tableColumnId="8"/>
    </queryTableFields>
    <queryTableDeletedFields count="1">
      <deletedField name="اسم المكتب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FFBA9795-F9AE-41CE-A6FF-CC7EDB9A24F4}" autoFormatId="16" applyNumberFormats="0" applyBorderFormats="0" applyFontFormats="0" applyPatternFormats="0" applyAlignmentFormats="0" applyWidthHeightFormats="0">
  <queryTableRefresh nextId="9">
    <queryTableFields count="7">
      <queryTableField id="1" name="Office name" tableColumnId="9"/>
      <queryTableField id="2" name="Saudi-Male" tableColumnId="2"/>
      <queryTableField id="3" name="Saudi-Female" tableColumnId="3"/>
      <queryTableField id="4" name="Non-Saudi-Male" tableColumnId="4"/>
      <queryTableField id="5" name="Non-Saudi-Female" tableColumnId="5"/>
      <queryTableField id="7" name="السنة" tableColumnId="7"/>
      <queryTableField id="8" name="الربع" tableColumnId="8"/>
    </queryTableFields>
    <queryTableDeletedFields count="1">
      <deletedField name="اسم المكتب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62B03A34-57C9-4349-93CF-DE04035A1FAA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Office name" tableColumnId="15"/>
      <queryTableField id="2" name="الاحتجاز_x000a_CAUGHT IN" tableColumnId="2"/>
      <queryTableField id="3" name="الارتطام أو الاصطدام_x000a_Struck and Collision" tableColumnId="3"/>
      <queryTableField id="4" name="الحك أو الكشط_x000a_Rubbed and Abrasion" tableColumnId="4"/>
      <queryTableField id="5" name="السقوط_x000a_Fall" tableColumnId="5"/>
      <queryTableField id="6" name="حوادث النقل والسيارات_x000a_ Transport and car Accidents" tableColumnId="6"/>
      <queryTableField id="7" name="الاجهاد المفرط_x000a_OVERE" tableColumnId="7"/>
      <queryTableField id="8" name="رد الفعل الجسدي_x000a_BODILY REACTION" tableColumnId="8"/>
      <queryTableField id="9" name="التلامس بالبرودة أو الحرارة_x000a_CONTACT WITH TEMPERATURE EXTREMES" tableColumnId="9"/>
      <queryTableField id="10" name="التلامس بالاشعاعات أو الكاويات_x000a_CONTACT WITH RADIATION and CAUSTICS" tableColumnId="10"/>
      <queryTableField id="11" name="أسباب أخرى_x000a_Other Accidents" tableColumnId="11"/>
      <queryTableField id="13" name="السنة" tableColumnId="13"/>
      <queryTableField id="14" name="الربع" tableColumnId="14"/>
      <queryTableField id="15" dataBound="0" tableColumnId="1"/>
    </queryTableFields>
    <queryTableDeletedFields count="1">
      <deletedField name="اسم المكتب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DA51279-4E96-4DB1-8935-E457441E0475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Office name" tableColumnId="15"/>
      <queryTableField id="2" name="15 ~ 19" tableColumnId="2"/>
      <queryTableField id="3" name="20 ~ 24" tableColumnId="3"/>
      <queryTableField id="4" name="25 ~ 29" tableColumnId="4"/>
      <queryTableField id="5" name="30 ~ 34" tableColumnId="5"/>
      <queryTableField id="6" name="35 ~ 39" tableColumnId="6"/>
      <queryTableField id="7" name="40 ~ 44" tableColumnId="7"/>
      <queryTableField id="8" name="45 ~ 49" tableColumnId="8"/>
      <queryTableField id="9" name="50 ~ 54" tableColumnId="9"/>
      <queryTableField id="10" name="55 ~ 59" tableColumnId="10"/>
      <queryTableField id="11" name="&gt;= 60" tableColumnId="11"/>
      <queryTableField id="13" name="السنة" tableColumnId="13"/>
      <queryTableField id="14" name="الربع" tableColumnId="14"/>
      <queryTableField id="15" dataBound="0" tableColumnId="1"/>
    </queryTableFields>
    <queryTableDeletedFields count="1">
      <deletedField name="اسم المكتب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48BCB-5569-488B-A34E-E78AA36392F5}" name="Table1" displayName="Table1" ref="A1:M260" tableType="queryTable" totalsRowShown="0" headerRowDxfId="19">
  <autoFilter ref="A1:M260" xr:uid="{E0848BCB-5569-488B-A34E-E78AA36392F5}"/>
  <sortState xmlns:xlrd2="http://schemas.microsoft.com/office/spreadsheetml/2017/richdata2" ref="A2:M260">
    <sortCondition ref="A1:A260"/>
  </sortState>
  <tableColumns count="13">
    <tableColumn id="15" xr3:uid="{3614EA55-72E9-4416-A12D-02765CEF38FA}" uniqueName="15" name="Office name" queryTableFieldId="1" dataDxfId="5"/>
    <tableColumn id="2" xr3:uid="{EBD26D69-FB13-4035-BD3D-78B8FDCF8573}" uniqueName="2" name="_x000a_Post and Telecommunications" queryTableFieldId="2"/>
    <tableColumn id="3" xr3:uid="{A074A9AB-0098-4991-9F0C-0128FE6C6870}" uniqueName="3" name="Commerce" queryTableFieldId="3"/>
    <tableColumn id="4" xr3:uid="{21AC2F51-2838-4841-86F0-45CDCC4B52CA}" uniqueName="4" name="Construction" queryTableFieldId="4"/>
    <tableColumn id="5" xr3:uid="{591D7B10-4577-4B2F-8E48-49DC9B5EC985}" uniqueName="5" name="Mining and Quarrying" queryTableFieldId="5"/>
    <tableColumn id="6" xr3:uid="{8AA58203-9AC6-4225-BC59-815F38DDFEDF}" uniqueName="6" name="Community services and Other Social services" queryTableFieldId="6"/>
    <tableColumn id="7" xr3:uid="{ADAC26EC-73F4-429D-A21D-AA57DECF881F}" uniqueName="7" name="Agriculture and Fishing" queryTableFieldId="7"/>
    <tableColumn id="8" xr3:uid="{222CA5F9-8135-46A0-8700-0259F908F9B7}" uniqueName="8" name="Manufacturing industries" queryTableFieldId="8"/>
    <tableColumn id="9" xr3:uid="{D256F2CD-1BAA-47CF-9E0D-1AFB78A94B0D}" uniqueName="9" name="Electricity, Gas and Water" queryTableFieldId="9"/>
    <tableColumn id="10" xr3:uid="{15D1F0A1-635A-4F09-A273-C023E1FFDD01}" uniqueName="10" name="Finance, Insurance, Real estate and Business services" queryTableFieldId="10"/>
    <tableColumn id="1" xr3:uid="{8125B824-F003-4D60-959B-FF6686722EE6}" uniqueName="1" name="Sum" queryTableFieldId="15" dataDxfId="4">
      <calculatedColumnFormula>SUM(Table1[[#This Row],[
Post and Telecommunications]:[Finance, Insurance, Real estate and Business services]])</calculatedColumnFormula>
    </tableColumn>
    <tableColumn id="13" xr3:uid="{418228DD-2B38-4EF7-BF62-9AF8D055631A}" uniqueName="13" name="Year" queryTableFieldId="13"/>
    <tableColumn id="14" xr3:uid="{ABBB21D6-76F0-436C-BFBA-1EFDC8DFDB28}" uniqueName="14" name="Quarter" queryTableFieldId="1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168D15-38DE-481E-B483-4A9B944EBE21}" name="Table2" displayName="Table2" ref="A1:M217" tableType="queryTable" totalsRowShown="0" headerRowDxfId="18">
  <autoFilter ref="A1:M217" xr:uid="{01168D15-38DE-481E-B483-4A9B944EBE21}"/>
  <sortState xmlns:xlrd2="http://schemas.microsoft.com/office/spreadsheetml/2017/richdata2" ref="A2:M217">
    <sortCondition ref="A1:A217"/>
  </sortState>
  <tableColumns count="13">
    <tableColumn id="15" xr3:uid="{58F87BBA-4DF0-4D48-8E2F-9D423E167FAB}" uniqueName="15" name="Office name" queryTableFieldId="1" dataDxfId="17"/>
    <tableColumn id="2" xr3:uid="{51BD59AB-BC69-47A0-A06C-FC74D330CF2F}" uniqueName="2" name="Specialists in scientific, technical and humanity subject" queryTableFieldId="2"/>
    <tableColumn id="3" xr3:uid="{654CDA9D-28DF-415F-821A-A8996E61A5EE}" uniqueName="3" name="Technicians in scientific, technical and humanity subject" queryTableFieldId="3"/>
    <tableColumn id="4" xr3:uid="{408911D0-7789-4B9B-836B-AFC03102447C}" uniqueName="4" name="Clerical occupations" queryTableFieldId="4"/>
    <tableColumn id="5" xr3:uid="{3C443DD6-968B-4ECB-93EB-0E07E5B6203A}" uniqueName="5" name="Basic engineering professions" queryTableFieldId="5"/>
    <tableColumn id="6" xr3:uid="{36E555C4-0CEF-4B45-8A4B-BE996509DAC0}" uniqueName="6" name="Managers and business managers" queryTableFieldId="6"/>
    <tableColumn id="7" xr3:uid="{F93CABAA-1182-49D2-9C86-FC11688A0B4F}" uniqueName="7" name="Sales occupations" queryTableFieldId="7"/>
    <tableColumn id="8" xr3:uid="{28B771AF-CF1A-48D3-BB2A-09A17C9BF547}" uniqueName="8" name="Service occupations" queryTableFieldId="8"/>
    <tableColumn id="9" xr3:uid="{209103C0-EEC5-4E40-9B02-474E5AEFB6F7}" uniqueName="9" name="Agriculture, hunting and animal husbandry" queryTableFieldId="9"/>
    <tableColumn id="10" xr3:uid="{8297287F-8F65-44FD-AFE4-5864D2CA7833}" uniqueName="10" name="Industrial/chemical processes and food industries" queryTableFieldId="10"/>
    <tableColumn id="11" xr3:uid="{F7B3F361-9C20-4B7D-B87D-4BB5C395AEB3}" uniqueName="11" name="Other occupations" queryTableFieldId="11"/>
    <tableColumn id="13" xr3:uid="{E59468DA-1210-49F4-A0FF-8671426EF2EB}" uniqueName="13" name="Year" queryTableFieldId="13"/>
    <tableColumn id="14" xr3:uid="{CA097607-75B4-42D2-9122-4019809BF9E9}" uniqueName="14" name="Quarter" queryTableFieldId="14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ECB5A1-8FE1-4955-B2DA-06D0270F4259}" name="Table3" displayName="Table3" ref="A1:G195" tableType="queryTable" totalsRowShown="0" headerRowDxfId="15">
  <autoFilter ref="A1:G195" xr:uid="{16ECB5A1-8FE1-4955-B2DA-06D0270F4259}"/>
  <sortState xmlns:xlrd2="http://schemas.microsoft.com/office/spreadsheetml/2017/richdata2" ref="A2:G195">
    <sortCondition ref="A1:A195"/>
  </sortState>
  <tableColumns count="7">
    <tableColumn id="9" xr3:uid="{BE4E0886-0B73-492A-91FE-F5997CC771E4}" uniqueName="9" name="Office name" queryTableFieldId="1" dataDxfId="14"/>
    <tableColumn id="2" xr3:uid="{18FD801B-2149-4FA3-B77D-0BC7A9542F3B}" uniqueName="2" name="Cured Without Disability" queryTableFieldId="2"/>
    <tableColumn id="3" xr3:uid="{2083E2FB-A567-4A0D-B200-195F44D3175E}" uniqueName="3" name="Cured With Disability" queryTableFieldId="3"/>
    <tableColumn id="4" xr3:uid="{1C9CD967-ED5B-4889-967D-498F210910C8}" uniqueName="4" name="Death" queryTableFieldId="4"/>
    <tableColumn id="5" xr3:uid="{BB3F3E52-84B4-4887-86E5-555DB0DE61DD}" uniqueName="5" name="Under recovery" queryTableFieldId="5"/>
    <tableColumn id="7" xr3:uid="{F4BA15A2-7F55-42E2-B515-5AAFE5E3C06B}" uniqueName="7" name="Year" queryTableFieldId="7"/>
    <tableColumn id="8" xr3:uid="{7A480118-6306-4A54-8317-5A86EFF75371}" uniqueName="8" name="Quarter" queryTableFieldId="8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45753C-A100-4EC1-89DA-95245DC2A7A2}" name="Table4" displayName="Table4" ref="A1:G259" tableType="queryTable" totalsRowShown="0" headerRowDxfId="2">
  <autoFilter ref="A1:G259" xr:uid="{CB45753C-A100-4EC1-89DA-95245DC2A7A2}"/>
  <sortState xmlns:xlrd2="http://schemas.microsoft.com/office/spreadsheetml/2017/richdata2" ref="A2:G259">
    <sortCondition ref="A1:A259"/>
  </sortState>
  <tableColumns count="7">
    <tableColumn id="9" xr3:uid="{684EEF92-91C3-4BF0-95A1-0B9249B401CC}" uniqueName="9" name="Office name" queryTableFieldId="1" dataDxfId="1"/>
    <tableColumn id="2" xr3:uid="{84E38CEC-20DD-4ECB-BC95-7E8C605435AD}" uniqueName="2" name="Saudi-Male" queryTableFieldId="2"/>
    <tableColumn id="3" xr3:uid="{E0F26182-E2FC-4514-8983-C6DADB8C1A03}" uniqueName="3" name="Saudi-Female" queryTableFieldId="3"/>
    <tableColumn id="4" xr3:uid="{B046FD11-909B-46FB-AFE2-4F5E764E867E}" uniqueName="4" name="Non-Saudi-Male" queryTableFieldId="4"/>
    <tableColumn id="5" xr3:uid="{B94ED8CC-C984-42B7-BA21-4A47E8F061E1}" uniqueName="5" name="Non-Saudi-Female" queryTableFieldId="5"/>
    <tableColumn id="7" xr3:uid="{E0D593C2-94D4-4001-9348-075D34BDEFEC}" uniqueName="7" name="Year" queryTableFieldId="7"/>
    <tableColumn id="8" xr3:uid="{325B3D3A-CCC1-4750-A247-46C2C28BFE5F}" uniqueName="8" name="Quarter" queryTableFieldId="8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4EAFF7-2D0D-4CF7-ACA2-EB04F2BFB7B9}" name="Table5" displayName="Table5" ref="A1:N261" tableType="queryTable" totalsRowCount="1" headerRowDxfId="12">
  <autoFilter ref="A1:N260" xr:uid="{ED4EAFF7-2D0D-4CF7-ACA2-EB04F2BFB7B9}"/>
  <sortState xmlns:xlrd2="http://schemas.microsoft.com/office/spreadsheetml/2017/richdata2" ref="A2:M260">
    <sortCondition ref="A1:A260"/>
  </sortState>
  <tableColumns count="14">
    <tableColumn id="15" xr3:uid="{B1E842B8-BCB5-4C6C-8AD3-74E98CC486C1}" uniqueName="15" name="Office name" totalsRowLabel="Total" queryTableFieldId="1" dataDxfId="11"/>
    <tableColumn id="2" xr3:uid="{6658219A-5180-4634-AE2E-FCAB42E7E6A7}" uniqueName="2" name="CAUGHT IN" queryTableFieldId="2"/>
    <tableColumn id="3" xr3:uid="{9B586A68-9122-419C-B854-41D4E8FDF57D}" uniqueName="3" name="Struck and Collision" queryTableFieldId="3"/>
    <tableColumn id="4" xr3:uid="{9375A509-5BB5-41AE-8CDE-DB9DA54FED6A}" uniqueName="4" name="Rubbed and Abrasion" queryTableFieldId="4"/>
    <tableColumn id="5" xr3:uid="{D8869D55-349B-4CF8-A21C-432E42CE01E6}" uniqueName="5" name="Fall" queryTableFieldId="5"/>
    <tableColumn id="6" xr3:uid="{CD8D1C1C-74F8-41AC-BC44-3D28B8B19E45}" uniqueName="6" name=" Transport and car Accidents" queryTableFieldId="6"/>
    <tableColumn id="7" xr3:uid="{2F42EB5C-449C-4970-A652-7AE92C36F019}" uniqueName="7" name="OVERE" queryTableFieldId="7"/>
    <tableColumn id="8" xr3:uid="{5BE8C7F1-7EC9-4321-92E2-BA7FD9B7AE38}" uniqueName="8" name="BODILY REACTION" queryTableFieldId="8"/>
    <tableColumn id="9" xr3:uid="{18C75865-6A56-490C-BC1C-433E28092CBC}" uniqueName="9" name="CONTACT WITH TEMPERATURE EXTREMES" queryTableFieldId="9"/>
    <tableColumn id="10" xr3:uid="{3C3D8FE6-AB6A-4A89-8966-D1E428F93E0C}" uniqueName="10" name="CONTACT WITH RADIATION and CAUSTICS" queryTableFieldId="10"/>
    <tableColumn id="11" xr3:uid="{862DD64A-D486-47F3-BD87-F9EAC596893F}" uniqueName="11" name="Other Accidents" queryTableFieldId="11"/>
    <tableColumn id="13" xr3:uid="{A210212B-2898-455E-A349-97A807EDECDC}" uniqueName="13" name="Year" queryTableFieldId="13"/>
    <tableColumn id="14" xr3:uid="{5C1B8173-41D6-4107-925D-83F492731770}" uniqueName="14" name="Quarter" queryTableFieldId="14" dataDxfId="10"/>
    <tableColumn id="1" xr3:uid="{C596AF34-5C40-4B9C-847C-2CE4BF7BE274}" uniqueName="1" name="Column1" totalsRowFunction="sum" queryTableFieldId="15" dataDxfId="6">
      <calculatedColumnFormula>SUM(Table5[[#This Row],[CAUGHT IN]:[Other Accidents]])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369BBA-27F5-4806-8FC8-8DFBF0F0684F}" name="Table6" displayName="Table6" ref="A1:N261" tableType="queryTable" totalsRowCount="1">
  <autoFilter ref="A1:N260" xr:uid="{A6369BBA-27F5-4806-8FC8-8DFBF0F0684F}"/>
  <sortState xmlns:xlrd2="http://schemas.microsoft.com/office/spreadsheetml/2017/richdata2" ref="A2:M260">
    <sortCondition ref="A1:A260"/>
  </sortState>
  <tableColumns count="14">
    <tableColumn id="15" xr3:uid="{177DF9EF-C113-4587-94A0-E5A67C86AB64}" uniqueName="15" name="Office name" totalsRowLabel="Total" queryTableFieldId="1" dataDxfId="9"/>
    <tableColumn id="2" xr3:uid="{C70DADB6-7C45-4E44-A1FF-A3F51CCCCF50}" uniqueName="2" name="15 ~ 19" queryTableFieldId="2"/>
    <tableColumn id="3" xr3:uid="{9B985BCA-0C26-48CB-8963-977FF9AC94FD}" uniqueName="3" name="20 ~ 24" queryTableFieldId="3"/>
    <tableColumn id="4" xr3:uid="{DF12A5E0-0E88-4FB4-8443-66F41CEA9B27}" uniqueName="4" name="25 ~ 29" queryTableFieldId="4"/>
    <tableColumn id="5" xr3:uid="{9BF07D4D-7E0D-4290-BAAB-1706DA01BA93}" uniqueName="5" name="30 ~ 34" queryTableFieldId="5"/>
    <tableColumn id="6" xr3:uid="{009FD41D-0D21-4714-90F4-7F5CA61D71BA}" uniqueName="6" name="35 ~ 39" queryTableFieldId="6"/>
    <tableColumn id="7" xr3:uid="{C08FCC0B-3FB4-47EB-AC95-0188F17DBFDB}" uniqueName="7" name="40 ~ 44" queryTableFieldId="7"/>
    <tableColumn id="8" xr3:uid="{19C134E8-D8EE-4532-B2DC-A1C28D53B151}" uniqueName="8" name="45 ~ 49" queryTableFieldId="8"/>
    <tableColumn id="9" xr3:uid="{4EBFB60A-3BAB-43C4-B457-DB3743BFC127}" uniqueName="9" name="50 ~ 54" queryTableFieldId="9"/>
    <tableColumn id="10" xr3:uid="{B5E4E000-6DCB-4FB7-AB4B-F0FFFCD8D013}" uniqueName="10" name="55 ~ 59" queryTableFieldId="10"/>
    <tableColumn id="11" xr3:uid="{94B2ED68-6BD9-4D0B-ADA7-6396824E092B}" uniqueName="11" name="&gt;= 60" queryTableFieldId="11"/>
    <tableColumn id="13" xr3:uid="{4BD47C16-2E6E-4FD3-B30A-31FAC2BDCCE8}" uniqueName="13" name="Year" queryTableFieldId="13"/>
    <tableColumn id="14" xr3:uid="{BDED8138-EAB0-41B0-8C6C-B9CDA2D72CFE}" uniqueName="14" name="Quarter" queryTableFieldId="14" dataDxfId="8"/>
    <tableColumn id="1" xr3:uid="{4671217B-280E-4F12-984B-B96310074301}" uniqueName="1" name="Column1" totalsRowFunction="sum" queryTableFieldId="15" dataDxfId="7">
      <calculatedColumnFormula>SUM(Table6[[#This Row],[15 ~ 19]:[&gt;= 60]])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0"/>
  <sheetViews>
    <sheetView zoomScaleNormal="100" workbookViewId="0">
      <selection activeCell="N11" sqref="N11"/>
    </sheetView>
  </sheetViews>
  <sheetFormatPr defaultColWidth="12.21875" defaultRowHeight="26.4" customHeight="1" x14ac:dyDescent="0.3"/>
  <cols>
    <col min="15" max="15" width="35.5546875" customWidth="1"/>
  </cols>
  <sheetData>
    <row r="1" spans="1:13" s="2" customFormat="1" ht="92.4" customHeight="1" x14ac:dyDescent="0.3">
      <c r="A1" s="2" t="s">
        <v>0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79</v>
      </c>
      <c r="L1" s="2" t="s">
        <v>52</v>
      </c>
      <c r="M1" s="2" t="s">
        <v>53</v>
      </c>
    </row>
    <row r="2" spans="1:13" ht="26.4" customHeight="1" x14ac:dyDescent="0.3">
      <c r="A2" t="s">
        <v>13</v>
      </c>
      <c r="B2">
        <v>25</v>
      </c>
      <c r="C2">
        <v>71</v>
      </c>
      <c r="D2">
        <v>347</v>
      </c>
      <c r="E2">
        <v>21</v>
      </c>
      <c r="F2">
        <v>44</v>
      </c>
      <c r="G2">
        <v>11</v>
      </c>
      <c r="H2">
        <v>70</v>
      </c>
      <c r="I2">
        <v>5</v>
      </c>
      <c r="J2">
        <v>40</v>
      </c>
      <c r="K2">
        <f>SUM(Table1[[#This Row],[
Post and Telecommunications]:[Finance, Insurance, Real estate and Business services]])</f>
        <v>634</v>
      </c>
      <c r="L2" s="1">
        <v>42412</v>
      </c>
      <c r="M2" t="s">
        <v>2</v>
      </c>
    </row>
    <row r="3" spans="1:13" ht="26.4" customHeight="1" x14ac:dyDescent="0.3">
      <c r="A3" t="s">
        <v>13</v>
      </c>
      <c r="B3">
        <v>37</v>
      </c>
      <c r="C3">
        <v>114</v>
      </c>
      <c r="D3">
        <v>293</v>
      </c>
      <c r="E3">
        <v>19</v>
      </c>
      <c r="F3">
        <v>69</v>
      </c>
      <c r="G3">
        <v>6</v>
      </c>
      <c r="H3">
        <v>59</v>
      </c>
      <c r="I3">
        <v>3</v>
      </c>
      <c r="J3">
        <v>30</v>
      </c>
      <c r="K3">
        <f>SUM(Table1[[#This Row],[
Post and Telecommunications]:[Finance, Insurance, Real estate and Business services]])</f>
        <v>630</v>
      </c>
      <c r="L3" s="1">
        <v>42494</v>
      </c>
      <c r="M3" t="s">
        <v>24</v>
      </c>
    </row>
    <row r="4" spans="1:13" ht="26.4" customHeight="1" x14ac:dyDescent="0.3">
      <c r="A4" t="s">
        <v>13</v>
      </c>
      <c r="B4">
        <v>36</v>
      </c>
      <c r="C4">
        <v>68</v>
      </c>
      <c r="D4">
        <v>280</v>
      </c>
      <c r="E4">
        <v>22</v>
      </c>
      <c r="F4">
        <v>44</v>
      </c>
      <c r="G4">
        <v>12</v>
      </c>
      <c r="H4">
        <v>66</v>
      </c>
      <c r="I4">
        <v>1</v>
      </c>
      <c r="J4">
        <v>37</v>
      </c>
      <c r="K4">
        <f>SUM(Table1[[#This Row],[
Post and Telecommunications]:[Finance, Insurance, Real estate and Business services]])</f>
        <v>566</v>
      </c>
      <c r="L4" s="1">
        <v>42567</v>
      </c>
      <c r="M4" t="s">
        <v>25</v>
      </c>
    </row>
    <row r="5" spans="1:13" ht="26.4" customHeight="1" x14ac:dyDescent="0.3">
      <c r="A5" t="s">
        <v>13</v>
      </c>
      <c r="B5">
        <v>28</v>
      </c>
      <c r="C5">
        <v>81</v>
      </c>
      <c r="D5">
        <v>281</v>
      </c>
      <c r="E5">
        <v>15</v>
      </c>
      <c r="F5">
        <v>54</v>
      </c>
      <c r="G5">
        <v>10</v>
      </c>
      <c r="H5">
        <v>73</v>
      </c>
      <c r="I5">
        <v>1</v>
      </c>
      <c r="J5">
        <v>30</v>
      </c>
      <c r="K5">
        <f>SUM(Table1[[#This Row],[
Post and Telecommunications]:[Finance, Insurance, Real estate and Business services]])</f>
        <v>573</v>
      </c>
      <c r="L5" s="1">
        <v>42633</v>
      </c>
      <c r="M5" t="s">
        <v>26</v>
      </c>
    </row>
    <row r="6" spans="1:13" ht="26.4" customHeight="1" x14ac:dyDescent="0.3">
      <c r="A6" t="s">
        <v>13</v>
      </c>
      <c r="B6">
        <v>22</v>
      </c>
      <c r="C6">
        <v>88</v>
      </c>
      <c r="D6">
        <v>303</v>
      </c>
      <c r="E6">
        <v>20</v>
      </c>
      <c r="F6">
        <v>45</v>
      </c>
      <c r="G6">
        <v>7</v>
      </c>
      <c r="H6">
        <v>73</v>
      </c>
      <c r="I6">
        <v>3</v>
      </c>
      <c r="J6">
        <v>34</v>
      </c>
      <c r="K6">
        <f>SUM(Table1[[#This Row],[
Post and Telecommunications]:[Finance, Insurance, Real estate and Business services]])</f>
        <v>595</v>
      </c>
      <c r="L6" s="1">
        <v>42792</v>
      </c>
      <c r="M6" t="s">
        <v>2</v>
      </c>
    </row>
    <row r="7" spans="1:13" ht="26.4" customHeight="1" x14ac:dyDescent="0.3">
      <c r="A7" t="s">
        <v>13</v>
      </c>
      <c r="B7">
        <v>20</v>
      </c>
      <c r="C7">
        <v>47</v>
      </c>
      <c r="D7">
        <v>190</v>
      </c>
      <c r="E7">
        <v>11</v>
      </c>
      <c r="F7">
        <v>28</v>
      </c>
      <c r="G7">
        <v>7</v>
      </c>
      <c r="H7">
        <v>71</v>
      </c>
      <c r="I7">
        <v>1</v>
      </c>
      <c r="J7">
        <v>17</v>
      </c>
      <c r="K7">
        <f>SUM(Table1[[#This Row],[
Post and Telecommunications]:[Finance, Insurance, Real estate and Business services]])</f>
        <v>392</v>
      </c>
      <c r="L7" s="1">
        <v>42924</v>
      </c>
      <c r="M7" t="s">
        <v>24</v>
      </c>
    </row>
    <row r="8" spans="1:13" ht="26.4" customHeight="1" x14ac:dyDescent="0.3">
      <c r="A8" t="s">
        <v>13</v>
      </c>
      <c r="B8">
        <v>22</v>
      </c>
      <c r="C8">
        <v>52</v>
      </c>
      <c r="D8">
        <v>207</v>
      </c>
      <c r="E8">
        <v>11</v>
      </c>
      <c r="F8">
        <v>36</v>
      </c>
      <c r="G8">
        <v>1</v>
      </c>
      <c r="H8">
        <v>46</v>
      </c>
      <c r="I8">
        <v>6</v>
      </c>
      <c r="J8">
        <v>18</v>
      </c>
      <c r="K8">
        <f>SUM(Table1[[#This Row],[
Post and Telecommunications]:[Finance, Insurance, Real estate and Business services]])</f>
        <v>399</v>
      </c>
      <c r="L8" s="1">
        <v>42973</v>
      </c>
      <c r="M8" t="s">
        <v>25</v>
      </c>
    </row>
    <row r="9" spans="1:13" ht="26.4" customHeight="1" x14ac:dyDescent="0.3">
      <c r="A9" t="s">
        <v>13</v>
      </c>
      <c r="B9">
        <v>18</v>
      </c>
      <c r="C9">
        <v>64</v>
      </c>
      <c r="D9">
        <v>203</v>
      </c>
      <c r="E9">
        <v>10</v>
      </c>
      <c r="F9">
        <v>40</v>
      </c>
      <c r="G9">
        <v>10</v>
      </c>
      <c r="H9">
        <v>64</v>
      </c>
      <c r="I9">
        <v>5</v>
      </c>
      <c r="J9">
        <v>26</v>
      </c>
      <c r="K9">
        <f>SUM(Table1[[#This Row],[
Post and Telecommunications]:[Finance, Insurance, Real estate and Business services]])</f>
        <v>440</v>
      </c>
      <c r="L9" s="1">
        <v>42973</v>
      </c>
      <c r="M9" t="s">
        <v>26</v>
      </c>
    </row>
    <row r="10" spans="1:13" ht="26.4" customHeight="1" x14ac:dyDescent="0.3">
      <c r="A10" t="s">
        <v>13</v>
      </c>
      <c r="B10">
        <v>22</v>
      </c>
      <c r="C10">
        <v>63</v>
      </c>
      <c r="D10">
        <v>216</v>
      </c>
      <c r="E10">
        <v>12</v>
      </c>
      <c r="F10">
        <v>27</v>
      </c>
      <c r="G10">
        <v>7</v>
      </c>
      <c r="H10">
        <v>53</v>
      </c>
      <c r="I10">
        <v>3</v>
      </c>
      <c r="J10">
        <v>20</v>
      </c>
      <c r="K10">
        <f>SUM(Table1[[#This Row],[
Post and Telecommunications]:[Finance, Insurance, Real estate and Business services]])</f>
        <v>423</v>
      </c>
      <c r="L10" s="1">
        <v>43147</v>
      </c>
      <c r="M10" t="s">
        <v>2</v>
      </c>
    </row>
    <row r="11" spans="1:13" ht="26.4" customHeight="1" x14ac:dyDescent="0.3">
      <c r="A11" t="s">
        <v>13</v>
      </c>
      <c r="B11">
        <v>15</v>
      </c>
      <c r="C11">
        <v>47</v>
      </c>
      <c r="D11">
        <v>154</v>
      </c>
      <c r="E11">
        <v>9</v>
      </c>
      <c r="F11">
        <v>35</v>
      </c>
      <c r="G11">
        <v>8</v>
      </c>
      <c r="H11">
        <v>52</v>
      </c>
      <c r="I11">
        <v>3</v>
      </c>
      <c r="J11">
        <v>15</v>
      </c>
      <c r="K11">
        <f>SUM(Table1[[#This Row],[
Post and Telecommunications]:[Finance, Insurance, Real estate and Business services]])</f>
        <v>338</v>
      </c>
      <c r="L11" s="1">
        <v>43236</v>
      </c>
      <c r="M11" t="s">
        <v>24</v>
      </c>
    </row>
    <row r="12" spans="1:13" ht="26.4" customHeight="1" x14ac:dyDescent="0.3">
      <c r="A12" t="s">
        <v>13</v>
      </c>
      <c r="B12">
        <v>19</v>
      </c>
      <c r="C12">
        <v>59</v>
      </c>
      <c r="D12">
        <v>190</v>
      </c>
      <c r="E12">
        <v>17</v>
      </c>
      <c r="F12">
        <v>27</v>
      </c>
      <c r="G12">
        <v>10</v>
      </c>
      <c r="H12">
        <v>58</v>
      </c>
      <c r="I12">
        <v>1</v>
      </c>
      <c r="J12">
        <v>12</v>
      </c>
      <c r="K12">
        <f>SUM(Table1[[#This Row],[
Post and Telecommunications]:[Finance, Insurance, Real estate and Business services]])</f>
        <v>393</v>
      </c>
      <c r="L12" s="1">
        <v>43236</v>
      </c>
      <c r="M12" t="s">
        <v>24</v>
      </c>
    </row>
    <row r="13" spans="1:13" ht="26.4" customHeight="1" x14ac:dyDescent="0.3">
      <c r="A13" t="s">
        <v>13</v>
      </c>
      <c r="B13">
        <v>19</v>
      </c>
      <c r="C13">
        <v>53</v>
      </c>
      <c r="D13">
        <v>149</v>
      </c>
      <c r="E13">
        <v>18</v>
      </c>
      <c r="F13">
        <v>20</v>
      </c>
      <c r="G13">
        <v>9</v>
      </c>
      <c r="H13">
        <v>57</v>
      </c>
      <c r="I13">
        <v>3</v>
      </c>
      <c r="J13">
        <v>22</v>
      </c>
      <c r="K13">
        <f>SUM(Table1[[#This Row],[
Post and Telecommunications]:[Finance, Insurance, Real estate and Business services]])</f>
        <v>350</v>
      </c>
      <c r="L13" s="1">
        <v>43236</v>
      </c>
      <c r="M13" t="s">
        <v>24</v>
      </c>
    </row>
    <row r="14" spans="1:13" ht="26.4" customHeight="1" x14ac:dyDescent="0.3">
      <c r="A14" t="s">
        <v>20</v>
      </c>
      <c r="B14">
        <v>0</v>
      </c>
      <c r="C14">
        <v>27</v>
      </c>
      <c r="D14">
        <v>29</v>
      </c>
      <c r="E14">
        <v>0</v>
      </c>
      <c r="F14">
        <v>5</v>
      </c>
      <c r="G14">
        <v>0</v>
      </c>
      <c r="H14">
        <v>3</v>
      </c>
      <c r="I14">
        <v>0</v>
      </c>
      <c r="J14">
        <v>10</v>
      </c>
      <c r="K14">
        <f>SUM(Table1[[#This Row],[
Post and Telecommunications]:[Finance, Insurance, Real estate and Business services]])</f>
        <v>74</v>
      </c>
      <c r="L14" s="1">
        <v>42419</v>
      </c>
      <c r="M14" t="s">
        <v>2</v>
      </c>
    </row>
    <row r="15" spans="1:13" ht="26.4" customHeight="1" x14ac:dyDescent="0.3">
      <c r="A15" t="s">
        <v>20</v>
      </c>
      <c r="B15">
        <v>0</v>
      </c>
      <c r="C15">
        <v>23</v>
      </c>
      <c r="D15">
        <v>26</v>
      </c>
      <c r="E15">
        <v>0</v>
      </c>
      <c r="F15">
        <v>3</v>
      </c>
      <c r="G15">
        <v>0</v>
      </c>
      <c r="H15">
        <v>8</v>
      </c>
      <c r="I15">
        <v>1</v>
      </c>
      <c r="J15">
        <v>8</v>
      </c>
      <c r="K15">
        <f>SUM(Table1[[#This Row],[
Post and Telecommunications]:[Finance, Insurance, Real estate and Business services]])</f>
        <v>69</v>
      </c>
      <c r="L15" s="1">
        <v>42501</v>
      </c>
      <c r="M15" t="s">
        <v>24</v>
      </c>
    </row>
    <row r="16" spans="1:13" ht="26.4" customHeight="1" x14ac:dyDescent="0.3">
      <c r="A16" t="s">
        <v>20</v>
      </c>
      <c r="B16">
        <v>2</v>
      </c>
      <c r="C16">
        <v>19</v>
      </c>
      <c r="D16">
        <v>18</v>
      </c>
      <c r="E16">
        <v>0</v>
      </c>
      <c r="F16">
        <v>2</v>
      </c>
      <c r="G16">
        <v>0</v>
      </c>
      <c r="H16">
        <v>1</v>
      </c>
      <c r="I16">
        <v>0</v>
      </c>
      <c r="J16">
        <v>7</v>
      </c>
      <c r="K16">
        <f>SUM(Table1[[#This Row],[
Post and Telecommunications]:[Finance, Insurance, Real estate and Business services]])</f>
        <v>49</v>
      </c>
      <c r="L16" s="1">
        <v>42574</v>
      </c>
      <c r="M16" t="s">
        <v>25</v>
      </c>
    </row>
    <row r="17" spans="1:13" ht="26.4" customHeight="1" x14ac:dyDescent="0.3">
      <c r="A17" t="s">
        <v>20</v>
      </c>
      <c r="B17">
        <v>3</v>
      </c>
      <c r="C17">
        <v>23</v>
      </c>
      <c r="D17">
        <v>38</v>
      </c>
      <c r="E17">
        <v>0</v>
      </c>
      <c r="F17">
        <v>7</v>
      </c>
      <c r="G17">
        <v>0</v>
      </c>
      <c r="H17">
        <v>5</v>
      </c>
      <c r="I17">
        <v>0</v>
      </c>
      <c r="J17">
        <v>1</v>
      </c>
      <c r="K17">
        <f>SUM(Table1[[#This Row],[
Post and Telecommunications]:[Finance, Insurance, Real estate and Business services]])</f>
        <v>77</v>
      </c>
      <c r="L17" s="1">
        <v>42640</v>
      </c>
      <c r="M17" t="s">
        <v>26</v>
      </c>
    </row>
    <row r="18" spans="1:13" ht="26.4" customHeight="1" x14ac:dyDescent="0.3">
      <c r="A18" t="s">
        <v>20</v>
      </c>
      <c r="C18">
        <v>13</v>
      </c>
      <c r="D18">
        <v>23</v>
      </c>
      <c r="F18">
        <v>3</v>
      </c>
      <c r="H18">
        <v>4</v>
      </c>
      <c r="J18">
        <v>8</v>
      </c>
      <c r="K18">
        <f>SUM(Table1[[#This Row],[
Post and Telecommunications]:[Finance, Insurance, Real estate and Business services]])</f>
        <v>51</v>
      </c>
      <c r="L18" s="1">
        <v>42799</v>
      </c>
      <c r="M18" t="s">
        <v>2</v>
      </c>
    </row>
    <row r="19" spans="1:13" ht="26.4" customHeight="1" x14ac:dyDescent="0.3">
      <c r="A19" t="s">
        <v>20</v>
      </c>
      <c r="B19">
        <v>0</v>
      </c>
      <c r="C19">
        <v>14</v>
      </c>
      <c r="D19">
        <v>19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f>SUM(Table1[[#This Row],[
Post and Telecommunications]:[Finance, Insurance, Real estate and Business services]])</f>
        <v>36</v>
      </c>
      <c r="L19" s="1">
        <v>42924</v>
      </c>
      <c r="M19" t="s">
        <v>24</v>
      </c>
    </row>
    <row r="20" spans="1:13" ht="26.4" customHeight="1" x14ac:dyDescent="0.3">
      <c r="A20" t="s">
        <v>20</v>
      </c>
      <c r="B20">
        <v>0</v>
      </c>
      <c r="C20">
        <v>8</v>
      </c>
      <c r="D20">
        <v>8</v>
      </c>
      <c r="E20">
        <v>0</v>
      </c>
      <c r="F20">
        <v>3</v>
      </c>
      <c r="G20">
        <v>0</v>
      </c>
      <c r="H20">
        <v>0</v>
      </c>
      <c r="I20">
        <v>0</v>
      </c>
      <c r="J20">
        <v>3</v>
      </c>
      <c r="K20">
        <f>SUM(Table1[[#This Row],[
Post and Telecommunications]:[Finance, Insurance, Real estate and Business services]])</f>
        <v>22</v>
      </c>
      <c r="L20" s="1">
        <v>42979</v>
      </c>
      <c r="M20" t="s">
        <v>25</v>
      </c>
    </row>
    <row r="21" spans="1:13" ht="26.4" customHeight="1" x14ac:dyDescent="0.3">
      <c r="A21" t="s">
        <v>20</v>
      </c>
      <c r="B21">
        <v>0</v>
      </c>
      <c r="C21">
        <v>18</v>
      </c>
      <c r="D21">
        <v>26</v>
      </c>
      <c r="E21">
        <v>0</v>
      </c>
      <c r="F21">
        <v>1</v>
      </c>
      <c r="G21">
        <v>0</v>
      </c>
      <c r="H21">
        <v>1</v>
      </c>
      <c r="I21">
        <v>0</v>
      </c>
      <c r="J21">
        <v>3</v>
      </c>
      <c r="K21">
        <f>SUM(Table1[[#This Row],[
Post and Telecommunications]:[Finance, Insurance, Real estate and Business services]])</f>
        <v>49</v>
      </c>
      <c r="L21" s="1">
        <v>42980</v>
      </c>
      <c r="M21" t="s">
        <v>26</v>
      </c>
    </row>
    <row r="22" spans="1:13" ht="26.4" customHeight="1" x14ac:dyDescent="0.3">
      <c r="A22" t="s">
        <v>20</v>
      </c>
      <c r="B22">
        <v>1</v>
      </c>
      <c r="C22">
        <v>18</v>
      </c>
      <c r="D22">
        <v>15</v>
      </c>
      <c r="E22">
        <v>1</v>
      </c>
      <c r="F22">
        <v>2</v>
      </c>
      <c r="G22">
        <v>0</v>
      </c>
      <c r="H22">
        <v>6</v>
      </c>
      <c r="I22">
        <v>0</v>
      </c>
      <c r="J22">
        <v>1</v>
      </c>
      <c r="K22">
        <f>SUM(Table1[[#This Row],[
Post and Telecommunications]:[Finance, Insurance, Real estate and Business services]])</f>
        <v>44</v>
      </c>
      <c r="L22" s="1">
        <v>43154</v>
      </c>
      <c r="M22" t="s">
        <v>2</v>
      </c>
    </row>
    <row r="23" spans="1:13" ht="26.4" customHeight="1" x14ac:dyDescent="0.3">
      <c r="A23" t="s">
        <v>20</v>
      </c>
      <c r="B23">
        <v>0</v>
      </c>
      <c r="C23">
        <v>18</v>
      </c>
      <c r="D23">
        <v>14</v>
      </c>
      <c r="E23">
        <v>0</v>
      </c>
      <c r="F23">
        <v>1</v>
      </c>
      <c r="G23">
        <v>0</v>
      </c>
      <c r="H23">
        <v>1</v>
      </c>
      <c r="I23">
        <v>0</v>
      </c>
      <c r="J23">
        <v>3</v>
      </c>
      <c r="K23">
        <f>SUM(Table1[[#This Row],[
Post and Telecommunications]:[Finance, Insurance, Real estate and Business services]])</f>
        <v>37</v>
      </c>
      <c r="L23" s="1">
        <v>43243</v>
      </c>
      <c r="M23" t="s">
        <v>24</v>
      </c>
    </row>
    <row r="24" spans="1:13" ht="26.4" customHeight="1" x14ac:dyDescent="0.3">
      <c r="A24" t="s">
        <v>20</v>
      </c>
      <c r="B24">
        <v>0</v>
      </c>
      <c r="C24">
        <v>11</v>
      </c>
      <c r="D24">
        <v>13</v>
      </c>
      <c r="E24">
        <v>0</v>
      </c>
      <c r="F24">
        <v>1</v>
      </c>
      <c r="G24">
        <v>0</v>
      </c>
      <c r="H24">
        <v>1</v>
      </c>
      <c r="I24">
        <v>0</v>
      </c>
      <c r="J24">
        <v>4</v>
      </c>
      <c r="K24">
        <f>SUM(Table1[[#This Row],[
Post and Telecommunications]:[Finance, Insurance, Real estate and Business services]])</f>
        <v>30</v>
      </c>
      <c r="L24" s="1">
        <v>43243</v>
      </c>
      <c r="M24" t="s">
        <v>24</v>
      </c>
    </row>
    <row r="25" spans="1:13" ht="26.4" customHeight="1" x14ac:dyDescent="0.3">
      <c r="A25" t="s">
        <v>20</v>
      </c>
      <c r="B25">
        <v>2</v>
      </c>
      <c r="C25">
        <v>14</v>
      </c>
      <c r="D25">
        <v>17</v>
      </c>
      <c r="E25">
        <v>0</v>
      </c>
      <c r="F25">
        <v>2</v>
      </c>
      <c r="G25">
        <v>1</v>
      </c>
      <c r="H25">
        <v>4</v>
      </c>
      <c r="I25">
        <v>0</v>
      </c>
      <c r="J25">
        <v>3</v>
      </c>
      <c r="K25">
        <f>SUM(Table1[[#This Row],[
Post and Telecommunications]:[Finance, Insurance, Real estate and Business services]])</f>
        <v>43</v>
      </c>
      <c r="L25" s="1">
        <v>43243</v>
      </c>
      <c r="M25" t="s">
        <v>24</v>
      </c>
    </row>
    <row r="26" spans="1:13" ht="26.4" customHeight="1" x14ac:dyDescent="0.3">
      <c r="A26" t="s">
        <v>14</v>
      </c>
      <c r="B26">
        <v>0</v>
      </c>
      <c r="C26">
        <v>8</v>
      </c>
      <c r="D26">
        <v>8</v>
      </c>
      <c r="E26">
        <v>0</v>
      </c>
      <c r="F26">
        <v>1</v>
      </c>
      <c r="G26">
        <v>1</v>
      </c>
      <c r="H26">
        <v>2</v>
      </c>
      <c r="I26">
        <v>1</v>
      </c>
      <c r="J26">
        <v>0</v>
      </c>
      <c r="K26">
        <f>SUM(Table1[[#This Row],[
Post and Telecommunications]:[Finance, Insurance, Real estate and Business services]])</f>
        <v>21</v>
      </c>
      <c r="L26" s="1">
        <v>42413</v>
      </c>
      <c r="M26" t="s">
        <v>2</v>
      </c>
    </row>
    <row r="27" spans="1:13" ht="26.4" customHeight="1" x14ac:dyDescent="0.3">
      <c r="A27" t="s">
        <v>14</v>
      </c>
      <c r="B27">
        <v>0</v>
      </c>
      <c r="C27">
        <v>1</v>
      </c>
      <c r="D27">
        <v>8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f>SUM(Table1[[#This Row],[
Post and Telecommunications]:[Finance, Insurance, Real estate and Business services]])</f>
        <v>12</v>
      </c>
      <c r="L27" s="1">
        <v>42495</v>
      </c>
      <c r="M27" t="s">
        <v>24</v>
      </c>
    </row>
    <row r="28" spans="1:13" ht="26.4" customHeight="1" x14ac:dyDescent="0.3">
      <c r="A28" t="s">
        <v>14</v>
      </c>
      <c r="B28">
        <v>0</v>
      </c>
      <c r="C28">
        <v>2</v>
      </c>
      <c r="D28">
        <v>18</v>
      </c>
      <c r="E28">
        <v>0</v>
      </c>
      <c r="F28">
        <v>1</v>
      </c>
      <c r="G28">
        <v>2</v>
      </c>
      <c r="H28">
        <v>1</v>
      </c>
      <c r="I28">
        <v>0</v>
      </c>
      <c r="J28">
        <v>0</v>
      </c>
      <c r="K28">
        <f>SUM(Table1[[#This Row],[
Post and Telecommunications]:[Finance, Insurance, Real estate and Business services]])</f>
        <v>24</v>
      </c>
      <c r="L28" s="1">
        <v>42568</v>
      </c>
      <c r="M28" t="s">
        <v>25</v>
      </c>
    </row>
    <row r="29" spans="1:13" ht="26.4" customHeight="1" x14ac:dyDescent="0.3">
      <c r="A29" t="s">
        <v>14</v>
      </c>
      <c r="B29">
        <v>0</v>
      </c>
      <c r="C29">
        <v>7</v>
      </c>
      <c r="D29">
        <v>8</v>
      </c>
      <c r="E29">
        <v>0</v>
      </c>
      <c r="F29">
        <v>1</v>
      </c>
      <c r="G29">
        <v>3</v>
      </c>
      <c r="H29">
        <v>4</v>
      </c>
      <c r="I29">
        <v>1</v>
      </c>
      <c r="J29">
        <v>1</v>
      </c>
      <c r="K29">
        <f>SUM(Table1[[#This Row],[
Post and Telecommunications]:[Finance, Insurance, Real estate and Business services]])</f>
        <v>25</v>
      </c>
      <c r="L29" s="1">
        <v>42634</v>
      </c>
      <c r="M29" t="s">
        <v>26</v>
      </c>
    </row>
    <row r="30" spans="1:13" ht="26.4" customHeight="1" x14ac:dyDescent="0.3">
      <c r="A30" t="s">
        <v>14</v>
      </c>
      <c r="B30">
        <v>2</v>
      </c>
      <c r="C30">
        <v>3</v>
      </c>
      <c r="D30">
        <v>6</v>
      </c>
      <c r="F30">
        <v>3</v>
      </c>
      <c r="G30">
        <v>1</v>
      </c>
      <c r="H30">
        <v>2</v>
      </c>
      <c r="I30">
        <v>1</v>
      </c>
      <c r="J30">
        <v>0</v>
      </c>
      <c r="K30">
        <f>SUM(Table1[[#This Row],[
Post and Telecommunications]:[Finance, Insurance, Real estate and Business services]])</f>
        <v>18</v>
      </c>
      <c r="L30" s="1">
        <v>42793</v>
      </c>
      <c r="M30" t="s">
        <v>2</v>
      </c>
    </row>
    <row r="31" spans="1:13" ht="26.4" customHeight="1" x14ac:dyDescent="0.3">
      <c r="A31" t="s">
        <v>14</v>
      </c>
      <c r="B31">
        <v>1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>SUM(Table1[[#This Row],[
Post and Telecommunications]:[Finance, Insurance, Real estate and Business services]])</f>
        <v>3</v>
      </c>
      <c r="L31" s="1">
        <v>42924</v>
      </c>
      <c r="M31" t="s">
        <v>24</v>
      </c>
    </row>
    <row r="32" spans="1:13" ht="26.4" customHeight="1" x14ac:dyDescent="0.3">
      <c r="A32" t="s">
        <v>14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f>SUM(Table1[[#This Row],[
Post and Telecommunications]:[Finance, Insurance, Real estate and Business services]])</f>
        <v>1</v>
      </c>
      <c r="L32" s="1">
        <v>42974</v>
      </c>
      <c r="M32" t="s">
        <v>25</v>
      </c>
    </row>
    <row r="33" spans="1:13" ht="26.4" customHeight="1" x14ac:dyDescent="0.3">
      <c r="A33" t="s">
        <v>14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>SUM(Table1[[#This Row],[
Post and Telecommunications]:[Finance, Insurance, Real estate and Business services]])</f>
        <v>1</v>
      </c>
      <c r="L33" s="1">
        <v>42974</v>
      </c>
      <c r="M33" t="s">
        <v>26</v>
      </c>
    </row>
    <row r="34" spans="1:13" ht="26.4" customHeight="1" x14ac:dyDescent="0.3">
      <c r="A34" t="s">
        <v>14</v>
      </c>
      <c r="B34">
        <v>0</v>
      </c>
      <c r="C34">
        <v>1</v>
      </c>
      <c r="D34">
        <v>4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f>SUM(Table1[[#This Row],[
Post and Telecommunications]:[Finance, Insurance, Real estate and Business services]])</f>
        <v>6</v>
      </c>
      <c r="L34" s="1">
        <v>43148</v>
      </c>
      <c r="M34" t="s">
        <v>2</v>
      </c>
    </row>
    <row r="35" spans="1:13" ht="26.4" customHeight="1" x14ac:dyDescent="0.3">
      <c r="A35" t="s">
        <v>14</v>
      </c>
      <c r="B35">
        <v>0</v>
      </c>
      <c r="C35">
        <v>0</v>
      </c>
      <c r="D35">
        <v>1</v>
      </c>
      <c r="E35">
        <v>0</v>
      </c>
      <c r="F35">
        <v>0</v>
      </c>
      <c r="G35">
        <v>1</v>
      </c>
      <c r="H35">
        <v>0</v>
      </c>
      <c r="I35">
        <v>1</v>
      </c>
      <c r="J35">
        <v>0</v>
      </c>
      <c r="K35">
        <f>SUM(Table1[[#This Row],[
Post and Telecommunications]:[Finance, Insurance, Real estate and Business services]])</f>
        <v>3</v>
      </c>
      <c r="L35" s="1">
        <v>43237</v>
      </c>
      <c r="M35" t="s">
        <v>24</v>
      </c>
    </row>
    <row r="36" spans="1:13" ht="26.4" customHeight="1" x14ac:dyDescent="0.3">
      <c r="A36" t="s">
        <v>14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f>SUM(Table1[[#This Row],[
Post and Telecommunications]:[Finance, Insurance, Real estate and Business services]])</f>
        <v>1</v>
      </c>
      <c r="L36" s="1">
        <v>43237</v>
      </c>
      <c r="M36" t="s">
        <v>24</v>
      </c>
    </row>
    <row r="37" spans="1:13" ht="26.4" customHeight="1" x14ac:dyDescent="0.3">
      <c r="A37" t="s">
        <v>14</v>
      </c>
      <c r="B37">
        <v>0</v>
      </c>
      <c r="C37">
        <v>1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f>SUM(Table1[[#This Row],[
Post and Telecommunications]:[Finance, Insurance, Real estate and Business services]])</f>
        <v>31</v>
      </c>
      <c r="L37" s="1">
        <v>43237</v>
      </c>
      <c r="M37" t="s">
        <v>24</v>
      </c>
    </row>
    <row r="38" spans="1:13" ht="26.4" customHeight="1" x14ac:dyDescent="0.3">
      <c r="A38" t="s">
        <v>5</v>
      </c>
      <c r="B38">
        <v>1</v>
      </c>
      <c r="C38">
        <v>7</v>
      </c>
      <c r="D38">
        <v>9</v>
      </c>
      <c r="E38">
        <v>0</v>
      </c>
      <c r="F38">
        <v>1</v>
      </c>
      <c r="G38">
        <v>2</v>
      </c>
      <c r="H38">
        <v>7</v>
      </c>
      <c r="I38">
        <v>0</v>
      </c>
      <c r="J38">
        <v>0</v>
      </c>
      <c r="K38">
        <f>SUM(Table1[[#This Row],[
Post and Telecommunications]:[Finance, Insurance, Real estate and Business services]])</f>
        <v>27</v>
      </c>
      <c r="L38" s="1">
        <v>42404</v>
      </c>
      <c r="M38" t="s">
        <v>2</v>
      </c>
    </row>
    <row r="39" spans="1:13" ht="26.4" customHeight="1" x14ac:dyDescent="0.3">
      <c r="A39" t="s">
        <v>5</v>
      </c>
      <c r="B39">
        <v>2</v>
      </c>
      <c r="C39">
        <v>4</v>
      </c>
      <c r="D39">
        <v>25</v>
      </c>
      <c r="E39">
        <v>0</v>
      </c>
      <c r="F39">
        <v>0</v>
      </c>
      <c r="G39">
        <v>7</v>
      </c>
      <c r="H39">
        <v>10</v>
      </c>
      <c r="I39">
        <v>0</v>
      </c>
      <c r="J39">
        <v>3</v>
      </c>
      <c r="K39">
        <f>SUM(Table1[[#This Row],[
Post and Telecommunications]:[Finance, Insurance, Real estate and Business services]])</f>
        <v>51</v>
      </c>
      <c r="L39" s="1">
        <v>42486</v>
      </c>
      <c r="M39" t="s">
        <v>24</v>
      </c>
    </row>
    <row r="40" spans="1:13" ht="26.4" customHeight="1" x14ac:dyDescent="0.3">
      <c r="A40" t="s">
        <v>5</v>
      </c>
      <c r="B40">
        <v>4</v>
      </c>
      <c r="C40">
        <v>3</v>
      </c>
      <c r="D40">
        <v>15</v>
      </c>
      <c r="E40">
        <v>0</v>
      </c>
      <c r="F40">
        <v>0</v>
      </c>
      <c r="G40">
        <v>3</v>
      </c>
      <c r="H40">
        <v>9</v>
      </c>
      <c r="I40">
        <v>0</v>
      </c>
      <c r="J40">
        <v>2</v>
      </c>
      <c r="K40">
        <f>SUM(Table1[[#This Row],[
Post and Telecommunications]:[Finance, Insurance, Real estate and Business services]])</f>
        <v>36</v>
      </c>
      <c r="L40" s="1">
        <v>42559</v>
      </c>
      <c r="M40" t="s">
        <v>25</v>
      </c>
    </row>
    <row r="41" spans="1:13" ht="26.4" customHeight="1" x14ac:dyDescent="0.3">
      <c r="A41" t="s">
        <v>5</v>
      </c>
      <c r="B41">
        <v>0</v>
      </c>
      <c r="C41">
        <v>5</v>
      </c>
      <c r="D41">
        <v>34</v>
      </c>
      <c r="E41">
        <v>0</v>
      </c>
      <c r="F41">
        <v>0</v>
      </c>
      <c r="G41">
        <v>2</v>
      </c>
      <c r="H41">
        <v>13</v>
      </c>
      <c r="I41">
        <v>0</v>
      </c>
      <c r="J41">
        <v>2</v>
      </c>
      <c r="K41">
        <f>SUM(Table1[[#This Row],[
Post and Telecommunications]:[Finance, Insurance, Real estate and Business services]])</f>
        <v>56</v>
      </c>
      <c r="L41" s="1">
        <v>42625</v>
      </c>
      <c r="M41" t="s">
        <v>26</v>
      </c>
    </row>
    <row r="42" spans="1:13" ht="26.4" customHeight="1" x14ac:dyDescent="0.3">
      <c r="A42" t="s">
        <v>5</v>
      </c>
      <c r="B42">
        <v>2</v>
      </c>
      <c r="C42">
        <v>4</v>
      </c>
      <c r="D42">
        <v>19</v>
      </c>
      <c r="F42">
        <v>1</v>
      </c>
      <c r="G42">
        <v>3</v>
      </c>
      <c r="H42">
        <v>24</v>
      </c>
      <c r="I42">
        <v>2</v>
      </c>
      <c r="J42">
        <v>7</v>
      </c>
      <c r="K42">
        <f>SUM(Table1[[#This Row],[
Post and Telecommunications]:[Finance, Insurance, Real estate and Business services]])</f>
        <v>62</v>
      </c>
      <c r="L42" s="1">
        <v>42784</v>
      </c>
      <c r="M42" t="s">
        <v>2</v>
      </c>
    </row>
    <row r="43" spans="1:13" ht="26.4" customHeight="1" x14ac:dyDescent="0.3">
      <c r="A43" t="s">
        <v>5</v>
      </c>
      <c r="B43">
        <v>1</v>
      </c>
      <c r="C43">
        <v>3</v>
      </c>
      <c r="D43">
        <v>5</v>
      </c>
      <c r="E43">
        <v>0</v>
      </c>
      <c r="F43">
        <v>0</v>
      </c>
      <c r="G43">
        <v>1</v>
      </c>
      <c r="H43">
        <v>2</v>
      </c>
      <c r="I43">
        <v>0</v>
      </c>
      <c r="J43">
        <v>1</v>
      </c>
      <c r="K43">
        <f>SUM(Table1[[#This Row],[
Post and Telecommunications]:[Finance, Insurance, Real estate and Business services]])</f>
        <v>13</v>
      </c>
      <c r="L43" s="1">
        <v>42924</v>
      </c>
      <c r="M43" t="s">
        <v>24</v>
      </c>
    </row>
    <row r="44" spans="1:13" ht="26.4" customHeight="1" x14ac:dyDescent="0.3">
      <c r="A44" t="s">
        <v>5</v>
      </c>
      <c r="B44">
        <v>2</v>
      </c>
      <c r="C44">
        <v>1</v>
      </c>
      <c r="D44">
        <v>10</v>
      </c>
      <c r="E44">
        <v>0</v>
      </c>
      <c r="F44">
        <v>0</v>
      </c>
      <c r="G44">
        <v>0</v>
      </c>
      <c r="H44">
        <v>6</v>
      </c>
      <c r="I44">
        <v>0</v>
      </c>
      <c r="J44">
        <v>1</v>
      </c>
      <c r="K44">
        <f>SUM(Table1[[#This Row],[
Post and Telecommunications]:[Finance, Insurance, Real estate and Business services]])</f>
        <v>20</v>
      </c>
      <c r="L44" s="1">
        <v>42965</v>
      </c>
      <c r="M44" t="s">
        <v>25</v>
      </c>
    </row>
    <row r="45" spans="1:13" ht="26.4" customHeight="1" x14ac:dyDescent="0.3">
      <c r="A45" t="s">
        <v>5</v>
      </c>
      <c r="B45">
        <v>0</v>
      </c>
      <c r="C45">
        <v>2</v>
      </c>
      <c r="D45">
        <v>4</v>
      </c>
      <c r="E45">
        <v>1</v>
      </c>
      <c r="F45">
        <v>0</v>
      </c>
      <c r="G45">
        <v>2</v>
      </c>
      <c r="H45">
        <v>14</v>
      </c>
      <c r="I45">
        <v>0</v>
      </c>
      <c r="J45">
        <v>1</v>
      </c>
      <c r="K45">
        <f>SUM(Table1[[#This Row],[
Post and Telecommunications]:[Finance, Insurance, Real estate and Business services]])</f>
        <v>24</v>
      </c>
      <c r="L45" s="1">
        <v>42965</v>
      </c>
      <c r="M45" t="s">
        <v>26</v>
      </c>
    </row>
    <row r="46" spans="1:13" ht="26.4" customHeight="1" x14ac:dyDescent="0.3">
      <c r="A46" t="s">
        <v>5</v>
      </c>
      <c r="B46">
        <v>0</v>
      </c>
      <c r="C46">
        <v>3</v>
      </c>
      <c r="D46">
        <v>10</v>
      </c>
      <c r="E46">
        <v>3</v>
      </c>
      <c r="F46">
        <v>0</v>
      </c>
      <c r="G46">
        <v>3</v>
      </c>
      <c r="H46">
        <v>11</v>
      </c>
      <c r="I46">
        <v>0</v>
      </c>
      <c r="J46">
        <v>4</v>
      </c>
      <c r="K46">
        <f>SUM(Table1[[#This Row],[
Post and Telecommunications]:[Finance, Insurance, Real estate and Business services]])</f>
        <v>34</v>
      </c>
      <c r="L46" s="1">
        <v>43139</v>
      </c>
      <c r="M46" t="s">
        <v>2</v>
      </c>
    </row>
    <row r="47" spans="1:13" ht="26.4" customHeight="1" x14ac:dyDescent="0.3">
      <c r="A47" t="s">
        <v>5</v>
      </c>
      <c r="B47">
        <v>2</v>
      </c>
      <c r="C47">
        <v>1</v>
      </c>
      <c r="D47">
        <v>9</v>
      </c>
      <c r="E47">
        <v>0</v>
      </c>
      <c r="F47">
        <v>0</v>
      </c>
      <c r="G47">
        <v>0</v>
      </c>
      <c r="H47">
        <v>6</v>
      </c>
      <c r="I47">
        <v>0</v>
      </c>
      <c r="J47">
        <v>2</v>
      </c>
      <c r="K47">
        <f>SUM(Table1[[#This Row],[
Post and Telecommunications]:[Finance, Insurance, Real estate and Business services]])</f>
        <v>20</v>
      </c>
      <c r="L47" s="1">
        <v>43228</v>
      </c>
      <c r="M47" t="s">
        <v>24</v>
      </c>
    </row>
    <row r="48" spans="1:13" ht="26.4" customHeight="1" x14ac:dyDescent="0.3">
      <c r="A48" t="s">
        <v>5</v>
      </c>
      <c r="B48">
        <v>1</v>
      </c>
      <c r="C48">
        <v>2</v>
      </c>
      <c r="D48">
        <v>7</v>
      </c>
      <c r="E48">
        <v>3</v>
      </c>
      <c r="F48">
        <v>0</v>
      </c>
      <c r="G48">
        <v>3</v>
      </c>
      <c r="H48">
        <v>10</v>
      </c>
      <c r="I48">
        <v>0</v>
      </c>
      <c r="J48">
        <v>1</v>
      </c>
      <c r="K48">
        <f>SUM(Table1[[#This Row],[
Post and Telecommunications]:[Finance, Insurance, Real estate and Business services]])</f>
        <v>27</v>
      </c>
      <c r="L48" s="1">
        <v>43228</v>
      </c>
      <c r="M48" t="s">
        <v>24</v>
      </c>
    </row>
    <row r="49" spans="1:13" ht="26.4" customHeight="1" x14ac:dyDescent="0.3">
      <c r="A49" t="s">
        <v>5</v>
      </c>
      <c r="B49">
        <v>0</v>
      </c>
      <c r="C49">
        <v>6</v>
      </c>
      <c r="D49">
        <v>5</v>
      </c>
      <c r="E49">
        <v>1</v>
      </c>
      <c r="F49">
        <v>1</v>
      </c>
      <c r="G49">
        <v>1</v>
      </c>
      <c r="H49">
        <v>6</v>
      </c>
      <c r="I49">
        <v>0</v>
      </c>
      <c r="J49">
        <v>2</v>
      </c>
      <c r="K49">
        <f>SUM(Table1[[#This Row],[
Post and Telecommunications]:[Finance, Insurance, Real estate and Business services]])</f>
        <v>22</v>
      </c>
      <c r="L49" s="1">
        <v>43228</v>
      </c>
      <c r="M49" t="s">
        <v>24</v>
      </c>
    </row>
    <row r="50" spans="1:13" ht="26.4" customHeight="1" x14ac:dyDescent="0.3">
      <c r="A50" t="s">
        <v>3</v>
      </c>
      <c r="B50">
        <v>4</v>
      </c>
      <c r="C50">
        <v>65</v>
      </c>
      <c r="D50">
        <v>104</v>
      </c>
      <c r="E50">
        <v>0</v>
      </c>
      <c r="F50">
        <v>1</v>
      </c>
      <c r="G50">
        <v>11</v>
      </c>
      <c r="H50">
        <v>13</v>
      </c>
      <c r="I50">
        <v>1</v>
      </c>
      <c r="J50">
        <v>4</v>
      </c>
      <c r="K50">
        <f>SUM(Table1[[#This Row],[
Post and Telecommunications]:[Finance, Insurance, Real estate and Business services]])</f>
        <v>203</v>
      </c>
      <c r="L50" s="1">
        <v>42402</v>
      </c>
      <c r="M50" t="s">
        <v>2</v>
      </c>
    </row>
    <row r="51" spans="1:13" ht="26.4" customHeight="1" x14ac:dyDescent="0.3">
      <c r="A51" t="s">
        <v>3</v>
      </c>
      <c r="B51">
        <v>5</v>
      </c>
      <c r="C51">
        <v>62</v>
      </c>
      <c r="D51">
        <v>132</v>
      </c>
      <c r="E51">
        <v>0</v>
      </c>
      <c r="F51">
        <v>3</v>
      </c>
      <c r="G51">
        <v>4</v>
      </c>
      <c r="H51">
        <v>15</v>
      </c>
      <c r="I51">
        <v>2</v>
      </c>
      <c r="J51">
        <v>5</v>
      </c>
      <c r="K51">
        <f>SUM(Table1[[#This Row],[
Post and Telecommunications]:[Finance, Insurance, Real estate and Business services]])</f>
        <v>228</v>
      </c>
      <c r="L51" s="1">
        <v>42484</v>
      </c>
      <c r="M51" t="s">
        <v>24</v>
      </c>
    </row>
    <row r="52" spans="1:13" ht="26.4" customHeight="1" x14ac:dyDescent="0.3">
      <c r="A52" t="s">
        <v>3</v>
      </c>
      <c r="B52">
        <v>0</v>
      </c>
      <c r="C52">
        <v>40</v>
      </c>
      <c r="D52">
        <v>109</v>
      </c>
      <c r="E52">
        <v>0</v>
      </c>
      <c r="F52">
        <v>2</v>
      </c>
      <c r="G52">
        <v>8</v>
      </c>
      <c r="H52">
        <v>19</v>
      </c>
      <c r="I52">
        <v>1</v>
      </c>
      <c r="J52">
        <v>14</v>
      </c>
      <c r="K52">
        <f>SUM(Table1[[#This Row],[
Post and Telecommunications]:[Finance, Insurance, Real estate and Business services]])</f>
        <v>193</v>
      </c>
      <c r="L52" s="1">
        <v>42557</v>
      </c>
      <c r="M52" t="s">
        <v>25</v>
      </c>
    </row>
    <row r="53" spans="1:13" ht="26.4" customHeight="1" x14ac:dyDescent="0.3">
      <c r="A53" t="s">
        <v>3</v>
      </c>
      <c r="B53">
        <v>3</v>
      </c>
      <c r="C53">
        <v>56</v>
      </c>
      <c r="D53">
        <v>178</v>
      </c>
      <c r="E53">
        <v>2</v>
      </c>
      <c r="F53">
        <v>3</v>
      </c>
      <c r="G53">
        <v>17</v>
      </c>
      <c r="H53">
        <v>36</v>
      </c>
      <c r="I53">
        <v>1</v>
      </c>
      <c r="J53">
        <v>8</v>
      </c>
      <c r="K53">
        <f>SUM(Table1[[#This Row],[
Post and Telecommunications]:[Finance, Insurance, Real estate and Business services]])</f>
        <v>304</v>
      </c>
      <c r="L53" s="1">
        <v>42623</v>
      </c>
      <c r="M53" t="s">
        <v>26</v>
      </c>
    </row>
    <row r="54" spans="1:13" ht="26.4" customHeight="1" x14ac:dyDescent="0.3">
      <c r="A54" t="s">
        <v>3</v>
      </c>
      <c r="B54">
        <v>7</v>
      </c>
      <c r="C54">
        <v>51</v>
      </c>
      <c r="D54">
        <v>180</v>
      </c>
      <c r="G54">
        <v>7</v>
      </c>
      <c r="H54">
        <v>29</v>
      </c>
      <c r="I54">
        <v>1</v>
      </c>
      <c r="J54">
        <v>11</v>
      </c>
      <c r="K54">
        <f>SUM(Table1[[#This Row],[
Post and Telecommunications]:[Finance, Insurance, Real estate and Business services]])</f>
        <v>286</v>
      </c>
      <c r="L54" s="1">
        <v>42782</v>
      </c>
      <c r="M54" t="s">
        <v>2</v>
      </c>
    </row>
    <row r="55" spans="1:13" ht="26.4" customHeight="1" x14ac:dyDescent="0.3">
      <c r="A55" t="s">
        <v>3</v>
      </c>
      <c r="B55">
        <v>5</v>
      </c>
      <c r="C55">
        <v>26</v>
      </c>
      <c r="D55">
        <v>99</v>
      </c>
      <c r="E55">
        <v>1</v>
      </c>
      <c r="F55">
        <v>1</v>
      </c>
      <c r="G55">
        <v>9</v>
      </c>
      <c r="H55">
        <v>20</v>
      </c>
      <c r="I55">
        <v>0</v>
      </c>
      <c r="J55">
        <v>6</v>
      </c>
      <c r="K55">
        <f>SUM(Table1[[#This Row],[
Post and Telecommunications]:[Finance, Insurance, Real estate and Business services]])</f>
        <v>167</v>
      </c>
      <c r="L55" s="1">
        <v>42924</v>
      </c>
      <c r="M55" t="s">
        <v>24</v>
      </c>
    </row>
    <row r="56" spans="1:13" ht="26.4" customHeight="1" x14ac:dyDescent="0.3">
      <c r="A56" t="s">
        <v>3</v>
      </c>
      <c r="B56">
        <v>3</v>
      </c>
      <c r="C56">
        <v>28</v>
      </c>
      <c r="D56">
        <v>115</v>
      </c>
      <c r="E56">
        <v>2</v>
      </c>
      <c r="F56">
        <v>4</v>
      </c>
      <c r="G56">
        <v>5</v>
      </c>
      <c r="H56">
        <v>21</v>
      </c>
      <c r="I56">
        <v>0</v>
      </c>
      <c r="J56">
        <v>7</v>
      </c>
      <c r="K56">
        <f>SUM(Table1[[#This Row],[
Post and Telecommunications]:[Finance, Insurance, Real estate and Business services]])</f>
        <v>185</v>
      </c>
      <c r="L56" s="1">
        <v>42963</v>
      </c>
      <c r="M56" t="s">
        <v>25</v>
      </c>
    </row>
    <row r="57" spans="1:13" ht="26.4" customHeight="1" x14ac:dyDescent="0.3">
      <c r="A57" t="s">
        <v>3</v>
      </c>
      <c r="B57">
        <v>3</v>
      </c>
      <c r="C57">
        <v>34</v>
      </c>
      <c r="D57">
        <v>114</v>
      </c>
      <c r="E57">
        <v>0</v>
      </c>
      <c r="F57">
        <v>3</v>
      </c>
      <c r="G57">
        <v>9</v>
      </c>
      <c r="H57">
        <v>24</v>
      </c>
      <c r="I57">
        <v>1</v>
      </c>
      <c r="J57">
        <v>10</v>
      </c>
      <c r="K57">
        <f>SUM(Table1[[#This Row],[
Post and Telecommunications]:[Finance, Insurance, Real estate and Business services]])</f>
        <v>198</v>
      </c>
      <c r="L57" s="1">
        <v>42963</v>
      </c>
      <c r="M57" t="s">
        <v>26</v>
      </c>
    </row>
    <row r="58" spans="1:13" ht="26.4" customHeight="1" x14ac:dyDescent="0.3">
      <c r="A58" t="s">
        <v>3</v>
      </c>
      <c r="B58">
        <v>6</v>
      </c>
      <c r="C58">
        <v>46</v>
      </c>
      <c r="D58">
        <v>105</v>
      </c>
      <c r="E58">
        <v>0</v>
      </c>
      <c r="F58">
        <v>5</v>
      </c>
      <c r="G58">
        <v>8</v>
      </c>
      <c r="H58">
        <v>23</v>
      </c>
      <c r="I58">
        <v>0</v>
      </c>
      <c r="J58">
        <v>11</v>
      </c>
      <c r="K58">
        <f>SUM(Table1[[#This Row],[
Post and Telecommunications]:[Finance, Insurance, Real estate and Business services]])</f>
        <v>204</v>
      </c>
      <c r="L58" s="1">
        <v>43137</v>
      </c>
      <c r="M58" t="s">
        <v>2</v>
      </c>
    </row>
    <row r="59" spans="1:13" ht="26.4" customHeight="1" x14ac:dyDescent="0.3">
      <c r="A59" t="s">
        <v>3</v>
      </c>
      <c r="B59">
        <v>0</v>
      </c>
      <c r="C59">
        <v>26</v>
      </c>
      <c r="D59">
        <v>92</v>
      </c>
      <c r="E59">
        <v>0</v>
      </c>
      <c r="F59">
        <v>2</v>
      </c>
      <c r="G59">
        <v>6</v>
      </c>
      <c r="H59">
        <v>20</v>
      </c>
      <c r="I59">
        <v>1</v>
      </c>
      <c r="J59">
        <v>5</v>
      </c>
      <c r="K59">
        <f>SUM(Table1[[#This Row],[
Post and Telecommunications]:[Finance, Insurance, Real estate and Business services]])</f>
        <v>152</v>
      </c>
      <c r="L59" s="1">
        <v>43226</v>
      </c>
      <c r="M59" t="s">
        <v>24</v>
      </c>
    </row>
    <row r="60" spans="1:13" ht="26.4" customHeight="1" x14ac:dyDescent="0.3">
      <c r="A60" t="s">
        <v>3</v>
      </c>
      <c r="B60">
        <v>0</v>
      </c>
      <c r="C60">
        <v>47</v>
      </c>
      <c r="D60">
        <v>81</v>
      </c>
      <c r="E60">
        <v>0</v>
      </c>
      <c r="F60">
        <v>7</v>
      </c>
      <c r="G60">
        <v>10</v>
      </c>
      <c r="H60">
        <v>24</v>
      </c>
      <c r="I60">
        <v>0</v>
      </c>
      <c r="J60">
        <v>4</v>
      </c>
      <c r="K60">
        <f>SUM(Table1[[#This Row],[
Post and Telecommunications]:[Finance, Insurance, Real estate and Business services]])</f>
        <v>173</v>
      </c>
      <c r="L60" s="1">
        <v>43226</v>
      </c>
      <c r="M60" t="s">
        <v>24</v>
      </c>
    </row>
    <row r="61" spans="1:13" ht="26.4" customHeight="1" x14ac:dyDescent="0.3">
      <c r="A61" t="s">
        <v>3</v>
      </c>
      <c r="B61">
        <v>6</v>
      </c>
      <c r="C61">
        <v>37</v>
      </c>
      <c r="D61">
        <v>86</v>
      </c>
      <c r="E61">
        <v>0</v>
      </c>
      <c r="F61">
        <v>4</v>
      </c>
      <c r="G61">
        <v>8</v>
      </c>
      <c r="H61">
        <v>25</v>
      </c>
      <c r="I61">
        <v>1</v>
      </c>
      <c r="J61">
        <v>9</v>
      </c>
      <c r="K61">
        <f>SUM(Table1[[#This Row],[
Post and Telecommunications]:[Finance, Insurance, Real estate and Business services]])</f>
        <v>176</v>
      </c>
      <c r="L61" s="1">
        <v>43226</v>
      </c>
      <c r="M61" t="s">
        <v>24</v>
      </c>
    </row>
    <row r="62" spans="1:13" ht="26.4" customHeight="1" x14ac:dyDescent="0.3">
      <c r="A62" t="s">
        <v>10</v>
      </c>
      <c r="B62">
        <v>4</v>
      </c>
      <c r="C62">
        <v>74</v>
      </c>
      <c r="D62">
        <v>222</v>
      </c>
      <c r="E62">
        <v>0</v>
      </c>
      <c r="F62">
        <v>6</v>
      </c>
      <c r="G62">
        <v>5</v>
      </c>
      <c r="H62">
        <v>45</v>
      </c>
      <c r="I62">
        <v>6</v>
      </c>
      <c r="J62">
        <v>34</v>
      </c>
      <c r="K62">
        <f>SUM(Table1[[#This Row],[
Post and Telecommunications]:[Finance, Insurance, Real estate and Business services]])</f>
        <v>396</v>
      </c>
      <c r="L62" s="1">
        <v>42409</v>
      </c>
      <c r="M62" t="s">
        <v>2</v>
      </c>
    </row>
    <row r="63" spans="1:13" ht="26.4" customHeight="1" x14ac:dyDescent="0.3">
      <c r="A63" t="s">
        <v>10</v>
      </c>
      <c r="B63">
        <v>4</v>
      </c>
      <c r="C63">
        <v>70</v>
      </c>
      <c r="D63">
        <v>130</v>
      </c>
      <c r="E63">
        <v>1</v>
      </c>
      <c r="F63">
        <v>6</v>
      </c>
      <c r="G63">
        <v>2</v>
      </c>
      <c r="H63">
        <v>68</v>
      </c>
      <c r="I63">
        <v>4</v>
      </c>
      <c r="J63">
        <v>23</v>
      </c>
      <c r="K63">
        <f>SUM(Table1[[#This Row],[
Post and Telecommunications]:[Finance, Insurance, Real estate and Business services]])</f>
        <v>308</v>
      </c>
      <c r="L63" s="1">
        <v>42491</v>
      </c>
      <c r="M63" t="s">
        <v>24</v>
      </c>
    </row>
    <row r="64" spans="1:13" ht="26.4" customHeight="1" x14ac:dyDescent="0.3">
      <c r="A64" t="s">
        <v>10</v>
      </c>
      <c r="B64">
        <v>1</v>
      </c>
      <c r="C64">
        <v>55</v>
      </c>
      <c r="D64">
        <v>91</v>
      </c>
      <c r="E64">
        <v>3</v>
      </c>
      <c r="F64">
        <v>1</v>
      </c>
      <c r="G64">
        <v>5</v>
      </c>
      <c r="H64">
        <v>32</v>
      </c>
      <c r="I64">
        <v>7</v>
      </c>
      <c r="J64">
        <v>18</v>
      </c>
      <c r="K64">
        <f>SUM(Table1[[#This Row],[
Post and Telecommunications]:[Finance, Insurance, Real estate and Business services]])</f>
        <v>213</v>
      </c>
      <c r="L64" s="1">
        <v>42564</v>
      </c>
      <c r="M64" t="s">
        <v>25</v>
      </c>
    </row>
    <row r="65" spans="1:13" ht="26.4" customHeight="1" x14ac:dyDescent="0.3">
      <c r="A65" t="s">
        <v>10</v>
      </c>
      <c r="B65">
        <v>5</v>
      </c>
      <c r="C65">
        <v>50</v>
      </c>
      <c r="D65">
        <v>96</v>
      </c>
      <c r="E65">
        <v>0</v>
      </c>
      <c r="F65">
        <v>3</v>
      </c>
      <c r="G65">
        <v>4</v>
      </c>
      <c r="H65">
        <v>35</v>
      </c>
      <c r="I65">
        <v>2</v>
      </c>
      <c r="J65">
        <v>18</v>
      </c>
      <c r="K65">
        <f>SUM(Table1[[#This Row],[
Post and Telecommunications]:[Finance, Insurance, Real estate and Business services]])</f>
        <v>213</v>
      </c>
      <c r="L65" s="1">
        <v>42630</v>
      </c>
      <c r="M65" t="s">
        <v>26</v>
      </c>
    </row>
    <row r="66" spans="1:13" ht="26.4" customHeight="1" x14ac:dyDescent="0.3">
      <c r="A66" t="s">
        <v>10</v>
      </c>
      <c r="B66">
        <v>1</v>
      </c>
      <c r="C66">
        <v>60</v>
      </c>
      <c r="D66">
        <v>102</v>
      </c>
      <c r="E66">
        <v>5</v>
      </c>
      <c r="F66">
        <v>5</v>
      </c>
      <c r="G66">
        <v>7</v>
      </c>
      <c r="H66">
        <v>40</v>
      </c>
      <c r="I66">
        <v>4</v>
      </c>
      <c r="J66">
        <v>19</v>
      </c>
      <c r="K66">
        <f>SUM(Table1[[#This Row],[
Post and Telecommunications]:[Finance, Insurance, Real estate and Business services]])</f>
        <v>243</v>
      </c>
      <c r="L66" s="1">
        <v>42789</v>
      </c>
      <c r="M66" t="s">
        <v>2</v>
      </c>
    </row>
    <row r="67" spans="1:13" ht="26.4" customHeight="1" x14ac:dyDescent="0.3">
      <c r="A67" t="s">
        <v>10</v>
      </c>
      <c r="B67">
        <v>2</v>
      </c>
      <c r="C67">
        <v>32</v>
      </c>
      <c r="D67">
        <v>55</v>
      </c>
      <c r="E67">
        <v>1</v>
      </c>
      <c r="F67">
        <v>3</v>
      </c>
      <c r="G67">
        <v>2</v>
      </c>
      <c r="H67">
        <v>34</v>
      </c>
      <c r="I67">
        <v>1</v>
      </c>
      <c r="J67">
        <v>9</v>
      </c>
      <c r="K67">
        <f>SUM(Table1[[#This Row],[
Post and Telecommunications]:[Finance, Insurance, Real estate and Business services]])</f>
        <v>139</v>
      </c>
      <c r="L67" s="1">
        <v>42924</v>
      </c>
      <c r="M67" t="s">
        <v>24</v>
      </c>
    </row>
    <row r="68" spans="1:13" ht="26.4" customHeight="1" x14ac:dyDescent="0.3">
      <c r="A68" t="s">
        <v>10</v>
      </c>
      <c r="B68">
        <v>4</v>
      </c>
      <c r="C68">
        <v>32</v>
      </c>
      <c r="D68">
        <v>49</v>
      </c>
      <c r="E68">
        <v>2</v>
      </c>
      <c r="F68">
        <v>6</v>
      </c>
      <c r="G68">
        <v>2</v>
      </c>
      <c r="H68">
        <v>21</v>
      </c>
      <c r="I68">
        <v>0</v>
      </c>
      <c r="J68">
        <v>9</v>
      </c>
      <c r="K68">
        <f>SUM(Table1[[#This Row],[
Post and Telecommunications]:[Finance, Insurance, Real estate and Business services]])</f>
        <v>125</v>
      </c>
      <c r="L68" s="1">
        <v>42970</v>
      </c>
      <c r="M68" t="s">
        <v>25</v>
      </c>
    </row>
    <row r="69" spans="1:13" ht="26.4" customHeight="1" x14ac:dyDescent="0.3">
      <c r="A69" t="s">
        <v>10</v>
      </c>
      <c r="B69">
        <v>1</v>
      </c>
      <c r="C69">
        <v>30</v>
      </c>
      <c r="D69">
        <v>53</v>
      </c>
      <c r="E69">
        <v>0</v>
      </c>
      <c r="F69">
        <v>3</v>
      </c>
      <c r="G69">
        <v>3</v>
      </c>
      <c r="H69">
        <v>19</v>
      </c>
      <c r="I69">
        <v>1</v>
      </c>
      <c r="J69">
        <v>8</v>
      </c>
      <c r="K69">
        <f>SUM(Table1[[#This Row],[
Post and Telecommunications]:[Finance, Insurance, Real estate and Business services]])</f>
        <v>118</v>
      </c>
      <c r="L69" s="1">
        <v>42970</v>
      </c>
      <c r="M69" t="s">
        <v>26</v>
      </c>
    </row>
    <row r="70" spans="1:13" ht="26.4" customHeight="1" x14ac:dyDescent="0.3">
      <c r="A70" t="s">
        <v>10</v>
      </c>
      <c r="B70">
        <v>3</v>
      </c>
      <c r="C70">
        <v>35</v>
      </c>
      <c r="D70">
        <v>65</v>
      </c>
      <c r="E70">
        <v>1</v>
      </c>
      <c r="F70">
        <v>5</v>
      </c>
      <c r="G70">
        <v>1</v>
      </c>
      <c r="H70">
        <v>9</v>
      </c>
      <c r="I70">
        <v>0</v>
      </c>
      <c r="J70">
        <v>16</v>
      </c>
      <c r="K70">
        <f>SUM(Table1[[#This Row],[
Post and Telecommunications]:[Finance, Insurance, Real estate and Business services]])</f>
        <v>135</v>
      </c>
      <c r="L70" s="1">
        <v>43144</v>
      </c>
      <c r="M70" t="s">
        <v>2</v>
      </c>
    </row>
    <row r="71" spans="1:13" ht="26.4" customHeight="1" x14ac:dyDescent="0.3">
      <c r="A71" t="s">
        <v>10</v>
      </c>
      <c r="B71">
        <v>4</v>
      </c>
      <c r="C71">
        <v>35</v>
      </c>
      <c r="D71">
        <v>52</v>
      </c>
      <c r="E71">
        <v>0</v>
      </c>
      <c r="F71">
        <v>2</v>
      </c>
      <c r="G71">
        <v>1</v>
      </c>
      <c r="H71">
        <v>17</v>
      </c>
      <c r="I71">
        <v>0</v>
      </c>
      <c r="J71">
        <v>15</v>
      </c>
      <c r="K71">
        <f>SUM(Table1[[#This Row],[
Post and Telecommunications]:[Finance, Insurance, Real estate and Business services]])</f>
        <v>126</v>
      </c>
      <c r="L71" s="1">
        <v>43233</v>
      </c>
      <c r="M71" t="s">
        <v>24</v>
      </c>
    </row>
    <row r="72" spans="1:13" ht="26.4" customHeight="1" x14ac:dyDescent="0.3">
      <c r="A72" t="s">
        <v>10</v>
      </c>
      <c r="B72">
        <v>0</v>
      </c>
      <c r="C72">
        <v>35</v>
      </c>
      <c r="D72">
        <v>51</v>
      </c>
      <c r="E72">
        <v>1</v>
      </c>
      <c r="F72">
        <v>4</v>
      </c>
      <c r="G72">
        <v>1</v>
      </c>
      <c r="H72">
        <v>14</v>
      </c>
      <c r="I72">
        <v>3</v>
      </c>
      <c r="J72">
        <v>10</v>
      </c>
      <c r="K72">
        <f>SUM(Table1[[#This Row],[
Post and Telecommunications]:[Finance, Insurance, Real estate and Business services]])</f>
        <v>119</v>
      </c>
      <c r="L72" s="1">
        <v>43233</v>
      </c>
      <c r="M72" t="s">
        <v>24</v>
      </c>
    </row>
    <row r="73" spans="1:13" ht="26.4" customHeight="1" x14ac:dyDescent="0.3">
      <c r="A73" t="s">
        <v>10</v>
      </c>
      <c r="B73">
        <v>1</v>
      </c>
      <c r="C73">
        <v>34</v>
      </c>
      <c r="D73">
        <v>66</v>
      </c>
      <c r="E73">
        <v>2</v>
      </c>
      <c r="F73">
        <v>6</v>
      </c>
      <c r="G73">
        <v>2</v>
      </c>
      <c r="H73">
        <v>14</v>
      </c>
      <c r="I73">
        <v>1</v>
      </c>
      <c r="J73">
        <v>15</v>
      </c>
      <c r="K73">
        <f>SUM(Table1[[#This Row],[
Post and Telecommunications]:[Finance, Insurance, Real estate and Business services]])</f>
        <v>141</v>
      </c>
      <c r="L73" s="1">
        <v>43233</v>
      </c>
      <c r="M73" t="s">
        <v>24</v>
      </c>
    </row>
    <row r="74" spans="1:13" ht="26.4" customHeight="1" x14ac:dyDescent="0.3">
      <c r="A74" t="s">
        <v>18</v>
      </c>
      <c r="B74">
        <v>11</v>
      </c>
      <c r="C74">
        <v>136</v>
      </c>
      <c r="D74">
        <v>431</v>
      </c>
      <c r="E74">
        <v>8</v>
      </c>
      <c r="F74">
        <v>29</v>
      </c>
      <c r="G74">
        <v>0</v>
      </c>
      <c r="H74">
        <v>81</v>
      </c>
      <c r="I74">
        <v>6</v>
      </c>
      <c r="J74">
        <v>33</v>
      </c>
      <c r="K74">
        <f>SUM(Table1[[#This Row],[
Post and Telecommunications]:[Finance, Insurance, Real estate and Business services]])</f>
        <v>735</v>
      </c>
      <c r="L74" s="1">
        <v>42417</v>
      </c>
      <c r="M74" t="s">
        <v>2</v>
      </c>
    </row>
    <row r="75" spans="1:13" ht="26.4" customHeight="1" x14ac:dyDescent="0.3">
      <c r="A75" t="s">
        <v>18</v>
      </c>
      <c r="B75">
        <v>27</v>
      </c>
      <c r="C75">
        <v>134</v>
      </c>
      <c r="D75">
        <v>430</v>
      </c>
      <c r="E75">
        <v>8</v>
      </c>
      <c r="F75">
        <v>38</v>
      </c>
      <c r="G75">
        <v>2</v>
      </c>
      <c r="H75">
        <v>101</v>
      </c>
      <c r="I75">
        <v>6</v>
      </c>
      <c r="J75">
        <v>31</v>
      </c>
      <c r="K75">
        <f>SUM(Table1[[#This Row],[
Post and Telecommunications]:[Finance, Insurance, Real estate and Business services]])</f>
        <v>777</v>
      </c>
      <c r="L75" s="1">
        <v>42499</v>
      </c>
      <c r="M75" t="s">
        <v>24</v>
      </c>
    </row>
    <row r="76" spans="1:13" ht="26.4" customHeight="1" x14ac:dyDescent="0.3">
      <c r="A76" t="s">
        <v>18</v>
      </c>
      <c r="B76">
        <v>16</v>
      </c>
      <c r="C76">
        <v>103</v>
      </c>
      <c r="D76">
        <v>364</v>
      </c>
      <c r="E76">
        <v>1</v>
      </c>
      <c r="F76">
        <v>36</v>
      </c>
      <c r="G76">
        <v>2</v>
      </c>
      <c r="H76">
        <v>68</v>
      </c>
      <c r="I76">
        <v>4</v>
      </c>
      <c r="J76">
        <v>21</v>
      </c>
      <c r="K76">
        <f>SUM(Table1[[#This Row],[
Post and Telecommunications]:[Finance, Insurance, Real estate and Business services]])</f>
        <v>615</v>
      </c>
      <c r="L76" s="1">
        <v>42572</v>
      </c>
      <c r="M76" t="s">
        <v>25</v>
      </c>
    </row>
    <row r="77" spans="1:13" ht="26.4" customHeight="1" x14ac:dyDescent="0.3">
      <c r="A77" t="s">
        <v>18</v>
      </c>
      <c r="B77">
        <v>17</v>
      </c>
      <c r="C77">
        <v>129</v>
      </c>
      <c r="D77">
        <v>371</v>
      </c>
      <c r="E77">
        <v>12</v>
      </c>
      <c r="F77">
        <v>40</v>
      </c>
      <c r="G77">
        <v>4</v>
      </c>
      <c r="H77">
        <v>77</v>
      </c>
      <c r="I77">
        <v>7</v>
      </c>
      <c r="J77">
        <v>22</v>
      </c>
      <c r="K77">
        <f>SUM(Table1[[#This Row],[
Post and Telecommunications]:[Finance, Insurance, Real estate and Business services]])</f>
        <v>679</v>
      </c>
      <c r="L77" s="1">
        <v>42638</v>
      </c>
      <c r="M77" t="s">
        <v>26</v>
      </c>
    </row>
    <row r="78" spans="1:13" ht="26.4" customHeight="1" x14ac:dyDescent="0.3">
      <c r="A78" t="s">
        <v>18</v>
      </c>
      <c r="B78">
        <v>14</v>
      </c>
      <c r="C78">
        <v>127</v>
      </c>
      <c r="D78">
        <v>365</v>
      </c>
      <c r="E78">
        <v>6</v>
      </c>
      <c r="F78">
        <v>36</v>
      </c>
      <c r="G78">
        <v>3</v>
      </c>
      <c r="H78">
        <v>72</v>
      </c>
      <c r="I78">
        <v>4</v>
      </c>
      <c r="J78">
        <v>32</v>
      </c>
      <c r="K78">
        <f>SUM(Table1[[#This Row],[
Post and Telecommunications]:[Finance, Insurance, Real estate and Business services]])</f>
        <v>659</v>
      </c>
      <c r="L78" s="1">
        <v>42797</v>
      </c>
      <c r="M78" t="s">
        <v>2</v>
      </c>
    </row>
    <row r="79" spans="1:13" ht="26.4" customHeight="1" x14ac:dyDescent="0.3">
      <c r="A79" t="s">
        <v>18</v>
      </c>
      <c r="B79">
        <v>10</v>
      </c>
      <c r="C79">
        <v>93</v>
      </c>
      <c r="D79">
        <v>217</v>
      </c>
      <c r="E79">
        <v>10</v>
      </c>
      <c r="F79">
        <v>18</v>
      </c>
      <c r="G79">
        <v>1</v>
      </c>
      <c r="H79">
        <v>61</v>
      </c>
      <c r="I79">
        <v>3</v>
      </c>
      <c r="J79">
        <v>13</v>
      </c>
      <c r="K79">
        <f>SUM(Table1[[#This Row],[
Post and Telecommunications]:[Finance, Insurance, Real estate and Business services]])</f>
        <v>426</v>
      </c>
      <c r="L79" s="1">
        <v>42924</v>
      </c>
      <c r="M79" t="s">
        <v>24</v>
      </c>
    </row>
    <row r="80" spans="1:13" ht="26.4" customHeight="1" x14ac:dyDescent="0.3">
      <c r="A80" t="s">
        <v>18</v>
      </c>
      <c r="B80">
        <v>7</v>
      </c>
      <c r="C80">
        <v>79</v>
      </c>
      <c r="D80">
        <v>195</v>
      </c>
      <c r="E80">
        <v>8</v>
      </c>
      <c r="F80">
        <v>12</v>
      </c>
      <c r="G80">
        <v>0</v>
      </c>
      <c r="H80">
        <v>46</v>
      </c>
      <c r="I80">
        <v>0</v>
      </c>
      <c r="J80">
        <v>13</v>
      </c>
      <c r="K80">
        <f>SUM(Table1[[#This Row],[
Post and Telecommunications]:[Finance, Insurance, Real estate and Business services]])</f>
        <v>360</v>
      </c>
      <c r="L80" s="1">
        <v>42977</v>
      </c>
      <c r="M80" t="s">
        <v>25</v>
      </c>
    </row>
    <row r="81" spans="1:13" ht="26.4" customHeight="1" x14ac:dyDescent="0.3">
      <c r="A81" t="s">
        <v>18</v>
      </c>
      <c r="B81">
        <v>18</v>
      </c>
      <c r="C81">
        <v>106</v>
      </c>
      <c r="D81">
        <v>259</v>
      </c>
      <c r="E81">
        <v>5</v>
      </c>
      <c r="F81">
        <v>18</v>
      </c>
      <c r="G81">
        <v>3</v>
      </c>
      <c r="H81">
        <v>62</v>
      </c>
      <c r="I81">
        <v>3</v>
      </c>
      <c r="J81">
        <v>12</v>
      </c>
      <c r="K81">
        <f>SUM(Table1[[#This Row],[
Post and Telecommunications]:[Finance, Insurance, Real estate and Business services]])</f>
        <v>486</v>
      </c>
      <c r="L81" s="1">
        <v>42978</v>
      </c>
      <c r="M81" t="s">
        <v>26</v>
      </c>
    </row>
    <row r="82" spans="1:13" ht="26.4" customHeight="1" x14ac:dyDescent="0.3">
      <c r="A82" t="s">
        <v>18</v>
      </c>
      <c r="B82">
        <v>6</v>
      </c>
      <c r="C82">
        <v>74</v>
      </c>
      <c r="D82">
        <v>191</v>
      </c>
      <c r="E82">
        <v>4</v>
      </c>
      <c r="F82">
        <v>21</v>
      </c>
      <c r="G82">
        <v>2</v>
      </c>
      <c r="H82">
        <v>56</v>
      </c>
      <c r="I82">
        <v>4</v>
      </c>
      <c r="J82">
        <v>12</v>
      </c>
      <c r="K82">
        <f>SUM(Table1[[#This Row],[
Post and Telecommunications]:[Finance, Insurance, Real estate and Business services]])</f>
        <v>370</v>
      </c>
      <c r="L82" s="1">
        <v>43152</v>
      </c>
      <c r="M82" t="s">
        <v>2</v>
      </c>
    </row>
    <row r="83" spans="1:13" ht="26.4" customHeight="1" x14ac:dyDescent="0.3">
      <c r="A83" t="s">
        <v>18</v>
      </c>
      <c r="B83">
        <v>7</v>
      </c>
      <c r="C83">
        <v>50</v>
      </c>
      <c r="D83">
        <v>165</v>
      </c>
      <c r="E83">
        <v>4</v>
      </c>
      <c r="F83">
        <v>16</v>
      </c>
      <c r="G83">
        <v>1</v>
      </c>
      <c r="H83">
        <v>45</v>
      </c>
      <c r="I83">
        <v>3</v>
      </c>
      <c r="J83">
        <v>8</v>
      </c>
      <c r="K83">
        <f>SUM(Table1[[#This Row],[
Post and Telecommunications]:[Finance, Insurance, Real estate and Business services]])</f>
        <v>299</v>
      </c>
      <c r="L83" s="1">
        <v>43241</v>
      </c>
      <c r="M83" t="s">
        <v>24</v>
      </c>
    </row>
    <row r="84" spans="1:13" ht="26.4" customHeight="1" x14ac:dyDescent="0.3">
      <c r="A84" t="s">
        <v>18</v>
      </c>
      <c r="B84">
        <v>12</v>
      </c>
      <c r="C84">
        <v>59</v>
      </c>
      <c r="D84">
        <v>176</v>
      </c>
      <c r="E84">
        <v>1</v>
      </c>
      <c r="F84">
        <v>18</v>
      </c>
      <c r="G84">
        <v>1</v>
      </c>
      <c r="H84">
        <v>51</v>
      </c>
      <c r="I84">
        <v>1</v>
      </c>
      <c r="J84">
        <v>19</v>
      </c>
      <c r="K84">
        <f>SUM(Table1[[#This Row],[
Post and Telecommunications]:[Finance, Insurance, Real estate and Business services]])</f>
        <v>338</v>
      </c>
      <c r="L84" s="1">
        <v>43241</v>
      </c>
      <c r="M84" t="s">
        <v>24</v>
      </c>
    </row>
    <row r="85" spans="1:13" ht="26.4" customHeight="1" x14ac:dyDescent="0.3">
      <c r="A85" t="s">
        <v>18</v>
      </c>
      <c r="B85">
        <v>10</v>
      </c>
      <c r="C85">
        <v>80</v>
      </c>
      <c r="D85">
        <v>179</v>
      </c>
      <c r="E85">
        <v>3</v>
      </c>
      <c r="F85">
        <v>13</v>
      </c>
      <c r="G85">
        <v>2</v>
      </c>
      <c r="H85">
        <v>36</v>
      </c>
      <c r="I85">
        <v>1</v>
      </c>
      <c r="J85">
        <v>16</v>
      </c>
      <c r="K85">
        <f>SUM(Table1[[#This Row],[
Post and Telecommunications]:[Finance, Insurance, Real estate and Business services]])</f>
        <v>340</v>
      </c>
      <c r="L85" s="1">
        <v>43241</v>
      </c>
      <c r="M85" t="s">
        <v>24</v>
      </c>
    </row>
    <row r="86" spans="1:13" ht="26.4" customHeight="1" x14ac:dyDescent="0.3">
      <c r="A86" t="s">
        <v>22</v>
      </c>
      <c r="B86">
        <v>0</v>
      </c>
      <c r="C86">
        <v>5</v>
      </c>
      <c r="D86">
        <v>4</v>
      </c>
      <c r="E86">
        <v>0</v>
      </c>
      <c r="F86">
        <v>0</v>
      </c>
      <c r="G86">
        <v>0</v>
      </c>
      <c r="H86">
        <v>1</v>
      </c>
      <c r="I86">
        <v>1</v>
      </c>
      <c r="J86">
        <v>2</v>
      </c>
      <c r="K86">
        <f>SUM(Table1[[#This Row],[
Post and Telecommunications]:[Finance, Insurance, Real estate and Business services]])</f>
        <v>13</v>
      </c>
      <c r="L86" s="1">
        <v>42421</v>
      </c>
      <c r="M86" t="s">
        <v>2</v>
      </c>
    </row>
    <row r="87" spans="1:13" ht="26.4" customHeight="1" x14ac:dyDescent="0.3">
      <c r="A87" t="s">
        <v>22</v>
      </c>
      <c r="B87">
        <v>0</v>
      </c>
      <c r="C87">
        <v>1</v>
      </c>
      <c r="D87">
        <v>5</v>
      </c>
      <c r="E87">
        <v>0</v>
      </c>
      <c r="F87">
        <v>1</v>
      </c>
      <c r="G87">
        <v>0</v>
      </c>
      <c r="H87">
        <v>3</v>
      </c>
      <c r="I87">
        <v>3</v>
      </c>
      <c r="J87">
        <v>0</v>
      </c>
      <c r="K87">
        <f>SUM(Table1[[#This Row],[
Post and Telecommunications]:[Finance, Insurance, Real estate and Business services]])</f>
        <v>13</v>
      </c>
      <c r="L87" s="1">
        <v>42503</v>
      </c>
      <c r="M87" t="s">
        <v>24</v>
      </c>
    </row>
    <row r="88" spans="1:13" ht="26.4" customHeight="1" x14ac:dyDescent="0.3">
      <c r="A88" t="s">
        <v>22</v>
      </c>
      <c r="B88">
        <v>0</v>
      </c>
      <c r="C88">
        <v>2</v>
      </c>
      <c r="D88">
        <v>3</v>
      </c>
      <c r="E88">
        <v>0</v>
      </c>
      <c r="F88">
        <v>1</v>
      </c>
      <c r="G88">
        <v>0</v>
      </c>
      <c r="H88">
        <v>2</v>
      </c>
      <c r="I88">
        <v>0</v>
      </c>
      <c r="J88">
        <v>2</v>
      </c>
      <c r="K88">
        <f>SUM(Table1[[#This Row],[
Post and Telecommunications]:[Finance, Insurance, Real estate and Business services]])</f>
        <v>10</v>
      </c>
      <c r="L88" s="1">
        <v>42576</v>
      </c>
      <c r="M88" t="s">
        <v>25</v>
      </c>
    </row>
    <row r="89" spans="1:13" ht="26.4" customHeight="1" x14ac:dyDescent="0.3">
      <c r="A89" t="s">
        <v>22</v>
      </c>
      <c r="B89">
        <v>0</v>
      </c>
      <c r="C89">
        <v>3</v>
      </c>
      <c r="D89">
        <v>7</v>
      </c>
      <c r="E89">
        <v>0</v>
      </c>
      <c r="F89">
        <v>0</v>
      </c>
      <c r="G89">
        <v>0</v>
      </c>
      <c r="H89">
        <v>3</v>
      </c>
      <c r="I89">
        <v>1</v>
      </c>
      <c r="J89">
        <v>0</v>
      </c>
      <c r="K89">
        <f>SUM(Table1[[#This Row],[
Post and Telecommunications]:[Finance, Insurance, Real estate and Business services]])</f>
        <v>14</v>
      </c>
      <c r="L89" s="1">
        <v>42642</v>
      </c>
      <c r="M89" t="s">
        <v>26</v>
      </c>
    </row>
    <row r="90" spans="1:13" ht="26.4" customHeight="1" x14ac:dyDescent="0.3">
      <c r="A90" t="s">
        <v>22</v>
      </c>
      <c r="D90">
        <v>7</v>
      </c>
      <c r="H90">
        <v>6</v>
      </c>
      <c r="K90">
        <f>SUM(Table1[[#This Row],[
Post and Telecommunications]:[Finance, Insurance, Real estate and Business services]])</f>
        <v>13</v>
      </c>
      <c r="L90" s="1">
        <v>42801</v>
      </c>
      <c r="M90" t="s">
        <v>2</v>
      </c>
    </row>
    <row r="91" spans="1:13" ht="26.4" customHeight="1" x14ac:dyDescent="0.3">
      <c r="A91" t="s">
        <v>22</v>
      </c>
      <c r="B91">
        <v>0</v>
      </c>
      <c r="C91">
        <v>2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f>SUM(Table1[[#This Row],[
Post and Telecommunications]:[Finance, Insurance, Real estate and Business services]])</f>
        <v>3</v>
      </c>
      <c r="L91" s="1">
        <v>42924</v>
      </c>
      <c r="M91" t="s">
        <v>24</v>
      </c>
    </row>
    <row r="92" spans="1:13" ht="26.4" customHeight="1" x14ac:dyDescent="0.3">
      <c r="A92" t="s">
        <v>22</v>
      </c>
      <c r="B92">
        <v>0</v>
      </c>
      <c r="C92">
        <v>1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f>SUM(Table1[[#This Row],[
Post and Telecommunications]:[Finance, Insurance, Real estate and Business services]])</f>
        <v>3</v>
      </c>
      <c r="L92" s="1">
        <v>42981</v>
      </c>
      <c r="M92" t="s">
        <v>25</v>
      </c>
    </row>
    <row r="93" spans="1:13" ht="26.4" customHeight="1" x14ac:dyDescent="0.3">
      <c r="A93" t="s">
        <v>22</v>
      </c>
      <c r="B93">
        <v>0</v>
      </c>
      <c r="C93">
        <v>1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f>SUM(Table1[[#This Row],[
Post and Telecommunications]:[Finance, Insurance, Real estate and Business services]])</f>
        <v>4</v>
      </c>
      <c r="L93" s="1">
        <v>42982</v>
      </c>
      <c r="M93" t="s">
        <v>26</v>
      </c>
    </row>
    <row r="94" spans="1:13" ht="26.4" customHeight="1" x14ac:dyDescent="0.3">
      <c r="A94" t="s">
        <v>22</v>
      </c>
      <c r="B94">
        <v>2</v>
      </c>
      <c r="C94">
        <v>2</v>
      </c>
      <c r="D94">
        <v>2</v>
      </c>
      <c r="E94">
        <v>0</v>
      </c>
      <c r="F94">
        <v>1</v>
      </c>
      <c r="G94">
        <v>0</v>
      </c>
      <c r="H94">
        <v>4</v>
      </c>
      <c r="I94">
        <v>0</v>
      </c>
      <c r="J94">
        <v>1</v>
      </c>
      <c r="K94">
        <f>SUM(Table1[[#This Row],[
Post and Telecommunications]:[Finance, Insurance, Real estate and Business services]])</f>
        <v>12</v>
      </c>
      <c r="L94" s="1">
        <v>43156</v>
      </c>
      <c r="M94" t="s">
        <v>2</v>
      </c>
    </row>
    <row r="95" spans="1:13" ht="26.4" customHeight="1" x14ac:dyDescent="0.3">
      <c r="A95" t="s">
        <v>22</v>
      </c>
      <c r="B95">
        <v>0</v>
      </c>
      <c r="C95">
        <v>0</v>
      </c>
      <c r="D95">
        <v>3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f>SUM(Table1[[#This Row],[
Post and Telecommunications]:[Finance, Insurance, Real estate and Business services]])</f>
        <v>4</v>
      </c>
      <c r="L95" s="1">
        <v>43245</v>
      </c>
      <c r="M95" t="s">
        <v>24</v>
      </c>
    </row>
    <row r="96" spans="1:13" ht="26.4" customHeight="1" x14ac:dyDescent="0.3">
      <c r="A96" t="s">
        <v>22</v>
      </c>
      <c r="B96">
        <v>0</v>
      </c>
      <c r="C96">
        <v>2</v>
      </c>
      <c r="D96">
        <v>8</v>
      </c>
      <c r="E96">
        <v>0</v>
      </c>
      <c r="F96">
        <v>1</v>
      </c>
      <c r="G96">
        <v>0</v>
      </c>
      <c r="H96">
        <v>2</v>
      </c>
      <c r="I96">
        <v>1</v>
      </c>
      <c r="J96">
        <v>0</v>
      </c>
      <c r="K96">
        <f>SUM(Table1[[#This Row],[
Post and Telecommunications]:[Finance, Insurance, Real estate and Business services]])</f>
        <v>14</v>
      </c>
      <c r="L96" s="1">
        <v>43245</v>
      </c>
      <c r="M96" t="s">
        <v>24</v>
      </c>
    </row>
    <row r="97" spans="1:13" ht="26.4" customHeight="1" x14ac:dyDescent="0.3">
      <c r="A97" t="s">
        <v>22</v>
      </c>
      <c r="B97">
        <v>5</v>
      </c>
      <c r="C97">
        <v>2</v>
      </c>
      <c r="D97">
        <v>10</v>
      </c>
      <c r="E97">
        <v>0</v>
      </c>
      <c r="F97">
        <v>0</v>
      </c>
      <c r="G97">
        <v>0</v>
      </c>
      <c r="H97">
        <v>1</v>
      </c>
      <c r="I97">
        <v>0</v>
      </c>
      <c r="J97">
        <v>4</v>
      </c>
      <c r="K97">
        <f>SUM(Table1[[#This Row],[
Post and Telecommunications]:[Finance, Insurance, Real estate and Business services]])</f>
        <v>22</v>
      </c>
      <c r="L97" s="1">
        <v>43245</v>
      </c>
      <c r="M97" t="s">
        <v>24</v>
      </c>
    </row>
    <row r="98" spans="1:13" ht="26.4" customHeight="1" x14ac:dyDescent="0.3">
      <c r="A98" t="s">
        <v>23</v>
      </c>
      <c r="B98">
        <v>0</v>
      </c>
      <c r="C98">
        <v>1</v>
      </c>
      <c r="D98">
        <v>2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f>SUM(Table1[[#This Row],[
Post and Telecommunications]:[Finance, Insurance, Real estate and Business services]])</f>
        <v>4</v>
      </c>
      <c r="L98" s="1">
        <v>42422</v>
      </c>
      <c r="M98" t="s">
        <v>2</v>
      </c>
    </row>
    <row r="99" spans="1:13" ht="26.4" customHeight="1" x14ac:dyDescent="0.3">
      <c r="A99" t="s">
        <v>23</v>
      </c>
      <c r="B99">
        <v>0</v>
      </c>
      <c r="C99">
        <v>0</v>
      </c>
      <c r="D99">
        <v>2</v>
      </c>
      <c r="E99">
        <v>0</v>
      </c>
      <c r="F99">
        <v>1</v>
      </c>
      <c r="G99">
        <v>1</v>
      </c>
      <c r="H99">
        <v>0</v>
      </c>
      <c r="I99">
        <v>1</v>
      </c>
      <c r="J99">
        <v>0</v>
      </c>
      <c r="K99">
        <f>SUM(Table1[[#This Row],[
Post and Telecommunications]:[Finance, Insurance, Real estate and Business services]])</f>
        <v>5</v>
      </c>
      <c r="L99" s="1">
        <v>42504</v>
      </c>
      <c r="M99" t="s">
        <v>24</v>
      </c>
    </row>
    <row r="100" spans="1:13" ht="26.4" customHeight="1" x14ac:dyDescent="0.3">
      <c r="A100" t="s">
        <v>23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f>SUM(Table1[[#This Row],[
Post and Telecommunications]:[Finance, Insurance, Real estate and Business services]])</f>
        <v>3</v>
      </c>
      <c r="L100" s="1">
        <v>42577</v>
      </c>
      <c r="M100" t="s">
        <v>25</v>
      </c>
    </row>
    <row r="101" spans="1:13" ht="26.4" customHeight="1" x14ac:dyDescent="0.3">
      <c r="A101" t="s">
        <v>23</v>
      </c>
      <c r="B101">
        <v>0</v>
      </c>
      <c r="C101">
        <v>1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f>SUM(Table1[[#This Row],[
Post and Telecommunications]:[Finance, Insurance, Real estate and Business services]])</f>
        <v>5</v>
      </c>
      <c r="L101" s="1">
        <v>42643</v>
      </c>
      <c r="M101" t="s">
        <v>26</v>
      </c>
    </row>
    <row r="102" spans="1:13" ht="26.4" customHeight="1" x14ac:dyDescent="0.3">
      <c r="A102" t="s">
        <v>23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0</v>
      </c>
      <c r="K102">
        <f>SUM(Table1[[#This Row],[
Post and Telecommunications]:[Finance, Insurance, Real estate and Business services]])</f>
        <v>3</v>
      </c>
      <c r="L102" s="1">
        <v>42924</v>
      </c>
      <c r="M102" t="s">
        <v>24</v>
      </c>
    </row>
    <row r="103" spans="1:13" ht="26.4" customHeight="1" x14ac:dyDescent="0.3">
      <c r="A103" t="s">
        <v>23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>SUM(Table1[[#This Row],[
Post and Telecommunications]:[Finance, Insurance, Real estate and Business services]])</f>
        <v>1</v>
      </c>
      <c r="L103" s="1">
        <v>42982</v>
      </c>
      <c r="M103" t="s">
        <v>25</v>
      </c>
    </row>
    <row r="104" spans="1:13" ht="26.4" customHeight="1" x14ac:dyDescent="0.3">
      <c r="A104" t="s">
        <v>23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f>SUM(Table1[[#This Row],[
Post and Telecommunications]:[Finance, Insurance, Real estate and Business services]])</f>
        <v>1</v>
      </c>
      <c r="L104" s="1">
        <v>43157</v>
      </c>
      <c r="M104" t="s">
        <v>2</v>
      </c>
    </row>
    <row r="105" spans="1:13" ht="26.4" customHeight="1" x14ac:dyDescent="0.3">
      <c r="A105" t="s">
        <v>23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f>SUM(Table1[[#This Row],[
Post and Telecommunications]:[Finance, Insurance, Real estate and Business services]])</f>
        <v>1</v>
      </c>
      <c r="L105" s="1">
        <v>43246</v>
      </c>
      <c r="M105" t="s">
        <v>24</v>
      </c>
    </row>
    <row r="106" spans="1:13" ht="26.4" customHeight="1" x14ac:dyDescent="0.3">
      <c r="A106" t="s">
        <v>12</v>
      </c>
      <c r="B106">
        <v>95</v>
      </c>
      <c r="C106">
        <v>354</v>
      </c>
      <c r="D106">
        <v>1167</v>
      </c>
      <c r="E106">
        <v>147</v>
      </c>
      <c r="F106">
        <v>87</v>
      </c>
      <c r="G106">
        <v>9</v>
      </c>
      <c r="H106">
        <v>611</v>
      </c>
      <c r="I106">
        <v>14</v>
      </c>
      <c r="J106">
        <v>140</v>
      </c>
      <c r="K106">
        <f>SUM(Table1[[#This Row],[
Post and Telecommunications]:[Finance, Insurance, Real estate and Business services]])</f>
        <v>2624</v>
      </c>
      <c r="L106" s="1">
        <v>42411</v>
      </c>
      <c r="M106" t="s">
        <v>2</v>
      </c>
    </row>
    <row r="107" spans="1:13" ht="26.4" customHeight="1" x14ac:dyDescent="0.3">
      <c r="A107" t="s">
        <v>12</v>
      </c>
      <c r="B107">
        <v>106</v>
      </c>
      <c r="C107">
        <v>394</v>
      </c>
      <c r="D107">
        <v>1046</v>
      </c>
      <c r="E107">
        <v>145</v>
      </c>
      <c r="F107">
        <v>81</v>
      </c>
      <c r="G107">
        <v>9</v>
      </c>
      <c r="H107">
        <v>558</v>
      </c>
      <c r="I107">
        <v>9</v>
      </c>
      <c r="J107">
        <v>133</v>
      </c>
      <c r="K107">
        <f>SUM(Table1[[#This Row],[
Post and Telecommunications]:[Finance, Insurance, Real estate and Business services]])</f>
        <v>2481</v>
      </c>
      <c r="L107" s="1">
        <v>42493</v>
      </c>
      <c r="M107" t="s">
        <v>24</v>
      </c>
    </row>
    <row r="108" spans="1:13" ht="26.4" customHeight="1" x14ac:dyDescent="0.3">
      <c r="A108" t="s">
        <v>12</v>
      </c>
      <c r="B108">
        <v>107</v>
      </c>
      <c r="C108">
        <v>322</v>
      </c>
      <c r="D108">
        <v>881</v>
      </c>
      <c r="E108">
        <v>124</v>
      </c>
      <c r="F108">
        <v>105</v>
      </c>
      <c r="G108">
        <v>6</v>
      </c>
      <c r="H108">
        <v>535</v>
      </c>
      <c r="I108">
        <v>12</v>
      </c>
      <c r="J108">
        <v>111</v>
      </c>
      <c r="K108">
        <f>SUM(Table1[[#This Row],[
Post and Telecommunications]:[Finance, Insurance, Real estate and Business services]])</f>
        <v>2203</v>
      </c>
      <c r="L108" s="1">
        <v>42566</v>
      </c>
      <c r="M108" t="s">
        <v>25</v>
      </c>
    </row>
    <row r="109" spans="1:13" ht="26.4" customHeight="1" x14ac:dyDescent="0.3">
      <c r="A109" t="s">
        <v>12</v>
      </c>
      <c r="B109">
        <v>100</v>
      </c>
      <c r="C109">
        <v>373</v>
      </c>
      <c r="D109">
        <v>1038</v>
      </c>
      <c r="E109">
        <v>118</v>
      </c>
      <c r="F109">
        <v>101</v>
      </c>
      <c r="G109">
        <v>8</v>
      </c>
      <c r="H109">
        <v>598</v>
      </c>
      <c r="I109">
        <v>12</v>
      </c>
      <c r="J109">
        <v>98</v>
      </c>
      <c r="K109">
        <f>SUM(Table1[[#This Row],[
Post and Telecommunications]:[Finance, Insurance, Real estate and Business services]])</f>
        <v>2446</v>
      </c>
      <c r="L109" s="1">
        <v>42632</v>
      </c>
      <c r="M109" t="s">
        <v>26</v>
      </c>
    </row>
    <row r="110" spans="1:13" ht="26.4" customHeight="1" x14ac:dyDescent="0.3">
      <c r="A110" t="s">
        <v>12</v>
      </c>
      <c r="B110">
        <v>127</v>
      </c>
      <c r="C110">
        <v>369</v>
      </c>
      <c r="D110">
        <v>1039</v>
      </c>
      <c r="E110">
        <v>117</v>
      </c>
      <c r="F110">
        <v>92</v>
      </c>
      <c r="G110">
        <v>12</v>
      </c>
      <c r="H110">
        <v>557</v>
      </c>
      <c r="I110">
        <v>25</v>
      </c>
      <c r="J110">
        <v>98</v>
      </c>
      <c r="K110">
        <f>SUM(Table1[[#This Row],[
Post and Telecommunications]:[Finance, Insurance, Real estate and Business services]])</f>
        <v>2436</v>
      </c>
      <c r="L110" s="1">
        <v>42791</v>
      </c>
      <c r="M110" t="s">
        <v>2</v>
      </c>
    </row>
    <row r="111" spans="1:13" ht="26.4" customHeight="1" x14ac:dyDescent="0.3">
      <c r="A111" t="s">
        <v>12</v>
      </c>
      <c r="B111">
        <v>74</v>
      </c>
      <c r="C111">
        <v>282</v>
      </c>
      <c r="D111">
        <v>697</v>
      </c>
      <c r="E111">
        <v>74</v>
      </c>
      <c r="F111">
        <v>70</v>
      </c>
      <c r="G111">
        <v>8</v>
      </c>
      <c r="H111">
        <v>459</v>
      </c>
      <c r="I111">
        <v>11</v>
      </c>
      <c r="J111">
        <v>94</v>
      </c>
      <c r="K111">
        <f>SUM(Table1[[#This Row],[
Post and Telecommunications]:[Finance, Insurance, Real estate and Business services]])</f>
        <v>1769</v>
      </c>
      <c r="L111" s="1">
        <v>42924</v>
      </c>
      <c r="M111" t="s">
        <v>24</v>
      </c>
    </row>
    <row r="112" spans="1:13" ht="26.4" customHeight="1" x14ac:dyDescent="0.3">
      <c r="A112" t="s">
        <v>12</v>
      </c>
      <c r="B112">
        <v>79</v>
      </c>
      <c r="C112">
        <v>265</v>
      </c>
      <c r="D112">
        <v>757</v>
      </c>
      <c r="E112">
        <v>73</v>
      </c>
      <c r="F112">
        <v>94</v>
      </c>
      <c r="G112">
        <v>9</v>
      </c>
      <c r="H112">
        <v>532</v>
      </c>
      <c r="I112">
        <v>9</v>
      </c>
      <c r="J112">
        <v>93</v>
      </c>
      <c r="K112">
        <f>SUM(Table1[[#This Row],[
Post and Telecommunications]:[Finance, Insurance, Real estate and Business services]])</f>
        <v>1911</v>
      </c>
      <c r="L112" s="1">
        <v>42972</v>
      </c>
      <c r="M112" t="s">
        <v>25</v>
      </c>
    </row>
    <row r="113" spans="1:13" ht="26.4" customHeight="1" x14ac:dyDescent="0.3">
      <c r="A113" t="s">
        <v>12</v>
      </c>
      <c r="B113">
        <v>88</v>
      </c>
      <c r="C113">
        <v>289</v>
      </c>
      <c r="D113">
        <v>832</v>
      </c>
      <c r="E113">
        <v>55</v>
      </c>
      <c r="F113">
        <v>90</v>
      </c>
      <c r="G113">
        <v>9</v>
      </c>
      <c r="H113">
        <v>491</v>
      </c>
      <c r="I113">
        <v>16</v>
      </c>
      <c r="J113">
        <v>105</v>
      </c>
      <c r="K113">
        <f>SUM(Table1[[#This Row],[
Post and Telecommunications]:[Finance, Insurance, Real estate and Business services]])</f>
        <v>1975</v>
      </c>
      <c r="L113" s="1">
        <v>42972</v>
      </c>
      <c r="M113" t="s">
        <v>26</v>
      </c>
    </row>
    <row r="114" spans="1:13" ht="26.4" customHeight="1" x14ac:dyDescent="0.3">
      <c r="A114" t="s">
        <v>12</v>
      </c>
      <c r="B114">
        <v>95</v>
      </c>
      <c r="C114">
        <v>262</v>
      </c>
      <c r="D114">
        <v>912</v>
      </c>
      <c r="E114">
        <v>88</v>
      </c>
      <c r="F114">
        <v>92</v>
      </c>
      <c r="G114">
        <v>8</v>
      </c>
      <c r="H114">
        <v>504</v>
      </c>
      <c r="I114">
        <v>20</v>
      </c>
      <c r="J114">
        <v>87</v>
      </c>
      <c r="K114">
        <f>SUM(Table1[[#This Row],[
Post and Telecommunications]:[Finance, Insurance, Real estate and Business services]])</f>
        <v>2068</v>
      </c>
      <c r="L114" s="1">
        <v>43146</v>
      </c>
      <c r="M114" t="s">
        <v>2</v>
      </c>
    </row>
    <row r="115" spans="1:13" ht="26.4" customHeight="1" x14ac:dyDescent="0.3">
      <c r="A115" t="s">
        <v>12</v>
      </c>
      <c r="B115">
        <v>69</v>
      </c>
      <c r="C115">
        <v>246</v>
      </c>
      <c r="D115">
        <v>706</v>
      </c>
      <c r="E115">
        <v>67</v>
      </c>
      <c r="F115">
        <v>70</v>
      </c>
      <c r="G115">
        <v>4</v>
      </c>
      <c r="H115">
        <v>445</v>
      </c>
      <c r="I115">
        <v>13</v>
      </c>
      <c r="J115">
        <v>91</v>
      </c>
      <c r="K115">
        <f>SUM(Table1[[#This Row],[
Post and Telecommunications]:[Finance, Insurance, Real estate and Business services]])</f>
        <v>1711</v>
      </c>
      <c r="L115" s="1">
        <v>43235</v>
      </c>
      <c r="M115" t="s">
        <v>24</v>
      </c>
    </row>
    <row r="116" spans="1:13" ht="26.4" customHeight="1" x14ac:dyDescent="0.3">
      <c r="A116" t="s">
        <v>12</v>
      </c>
      <c r="B116">
        <v>75</v>
      </c>
      <c r="C116">
        <v>246</v>
      </c>
      <c r="D116">
        <v>704</v>
      </c>
      <c r="E116">
        <v>96</v>
      </c>
      <c r="F116">
        <v>57</v>
      </c>
      <c r="G116">
        <v>1</v>
      </c>
      <c r="H116">
        <v>399</v>
      </c>
      <c r="I116">
        <v>10</v>
      </c>
      <c r="J116">
        <v>122</v>
      </c>
      <c r="K116">
        <f>SUM(Table1[[#This Row],[
Post and Telecommunications]:[Finance, Insurance, Real estate and Business services]])</f>
        <v>1710</v>
      </c>
      <c r="L116" s="1">
        <v>43235</v>
      </c>
      <c r="M116" t="s">
        <v>24</v>
      </c>
    </row>
    <row r="117" spans="1:13" ht="26.4" customHeight="1" x14ac:dyDescent="0.3">
      <c r="A117" t="s">
        <v>12</v>
      </c>
      <c r="B117">
        <v>56</v>
      </c>
      <c r="C117">
        <v>239</v>
      </c>
      <c r="D117">
        <v>660</v>
      </c>
      <c r="E117">
        <v>75</v>
      </c>
      <c r="F117">
        <v>51</v>
      </c>
      <c r="G117">
        <v>9</v>
      </c>
      <c r="H117">
        <v>357</v>
      </c>
      <c r="I117">
        <v>7</v>
      </c>
      <c r="J117">
        <v>119</v>
      </c>
      <c r="K117">
        <f>SUM(Table1[[#This Row],[
Post and Telecommunications]:[Finance, Insurance, Real estate and Business services]])</f>
        <v>1573</v>
      </c>
      <c r="L117" s="1">
        <v>43235</v>
      </c>
      <c r="M117" t="s">
        <v>24</v>
      </c>
    </row>
    <row r="118" spans="1:13" ht="26.4" customHeight="1" x14ac:dyDescent="0.3">
      <c r="A118" t="s">
        <v>16</v>
      </c>
      <c r="B118">
        <v>1</v>
      </c>
      <c r="C118">
        <v>10</v>
      </c>
      <c r="D118">
        <v>28</v>
      </c>
      <c r="E118">
        <v>1</v>
      </c>
      <c r="F118">
        <v>3</v>
      </c>
      <c r="G118">
        <v>1</v>
      </c>
      <c r="H118">
        <v>5</v>
      </c>
      <c r="I118">
        <v>0</v>
      </c>
      <c r="J118">
        <v>3</v>
      </c>
      <c r="K118">
        <f>SUM(Table1[[#This Row],[
Post and Telecommunications]:[Finance, Insurance, Real estate and Business services]])</f>
        <v>52</v>
      </c>
      <c r="L118" s="1">
        <v>42415</v>
      </c>
      <c r="M118" t="s">
        <v>2</v>
      </c>
    </row>
    <row r="119" spans="1:13" ht="26.4" customHeight="1" x14ac:dyDescent="0.3">
      <c r="A119" t="s">
        <v>16</v>
      </c>
      <c r="B119">
        <v>5</v>
      </c>
      <c r="C119">
        <v>25</v>
      </c>
      <c r="D119">
        <v>43</v>
      </c>
      <c r="E119">
        <v>0</v>
      </c>
      <c r="F119">
        <v>7</v>
      </c>
      <c r="G119">
        <v>0</v>
      </c>
      <c r="H119">
        <v>10</v>
      </c>
      <c r="I119">
        <v>0</v>
      </c>
      <c r="J119">
        <v>5</v>
      </c>
      <c r="K119">
        <f>SUM(Table1[[#This Row],[
Post and Telecommunications]:[Finance, Insurance, Real estate and Business services]])</f>
        <v>95</v>
      </c>
      <c r="L119" s="1">
        <v>42497</v>
      </c>
      <c r="M119" t="s">
        <v>24</v>
      </c>
    </row>
    <row r="120" spans="1:13" ht="26.4" customHeight="1" x14ac:dyDescent="0.3">
      <c r="A120" t="s">
        <v>16</v>
      </c>
      <c r="B120">
        <v>3</v>
      </c>
      <c r="C120">
        <v>13</v>
      </c>
      <c r="D120">
        <v>26</v>
      </c>
      <c r="E120">
        <v>0</v>
      </c>
      <c r="F120">
        <v>2</v>
      </c>
      <c r="G120">
        <v>0</v>
      </c>
      <c r="H120">
        <v>6</v>
      </c>
      <c r="I120">
        <v>0</v>
      </c>
      <c r="J120">
        <v>2</v>
      </c>
      <c r="K120">
        <f>SUM(Table1[[#This Row],[
Post and Telecommunications]:[Finance, Insurance, Real estate and Business services]])</f>
        <v>52</v>
      </c>
      <c r="L120" s="1">
        <v>42570</v>
      </c>
      <c r="M120" t="s">
        <v>25</v>
      </c>
    </row>
    <row r="121" spans="1:13" ht="26.4" customHeight="1" x14ac:dyDescent="0.3">
      <c r="A121" t="s">
        <v>16</v>
      </c>
      <c r="B121">
        <v>2</v>
      </c>
      <c r="C121">
        <v>16</v>
      </c>
      <c r="D121">
        <v>23</v>
      </c>
      <c r="E121">
        <v>0</v>
      </c>
      <c r="F121">
        <v>0</v>
      </c>
      <c r="G121">
        <v>0</v>
      </c>
      <c r="H121">
        <v>10</v>
      </c>
      <c r="I121">
        <v>0</v>
      </c>
      <c r="J121">
        <v>3</v>
      </c>
      <c r="K121">
        <f>SUM(Table1[[#This Row],[
Post and Telecommunications]:[Finance, Insurance, Real estate and Business services]])</f>
        <v>54</v>
      </c>
      <c r="L121" s="1">
        <v>42636</v>
      </c>
      <c r="M121" t="s">
        <v>26</v>
      </c>
    </row>
    <row r="122" spans="1:13" ht="26.4" customHeight="1" x14ac:dyDescent="0.3">
      <c r="A122" t="s">
        <v>16</v>
      </c>
      <c r="B122">
        <v>6</v>
      </c>
      <c r="C122">
        <v>17</v>
      </c>
      <c r="D122">
        <v>31</v>
      </c>
      <c r="F122">
        <v>8</v>
      </c>
      <c r="H122">
        <v>7</v>
      </c>
      <c r="J122">
        <v>1</v>
      </c>
      <c r="K122">
        <f>SUM(Table1[[#This Row],[
Post and Telecommunications]:[Finance, Insurance, Real estate and Business services]])</f>
        <v>70</v>
      </c>
      <c r="L122" s="1">
        <v>42795</v>
      </c>
      <c r="M122" t="s">
        <v>2</v>
      </c>
    </row>
    <row r="123" spans="1:13" ht="26.4" customHeight="1" x14ac:dyDescent="0.3">
      <c r="A123" t="s">
        <v>16</v>
      </c>
      <c r="B123">
        <v>0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f>SUM(Table1[[#This Row],[
Post and Telecommunications]:[Finance, Insurance, Real estate and Business services]])</f>
        <v>3</v>
      </c>
      <c r="L123" s="1">
        <v>42924</v>
      </c>
      <c r="M123" t="s">
        <v>24</v>
      </c>
    </row>
    <row r="124" spans="1:13" ht="26.4" customHeight="1" x14ac:dyDescent="0.3">
      <c r="A124" t="s">
        <v>16</v>
      </c>
      <c r="B124">
        <v>0</v>
      </c>
      <c r="C124">
        <v>2</v>
      </c>
      <c r="D124">
        <v>12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f>SUM(Table1[[#This Row],[
Post and Telecommunications]:[Finance, Insurance, Real estate and Business services]])</f>
        <v>15</v>
      </c>
      <c r="L124" s="1">
        <v>42976</v>
      </c>
      <c r="M124" t="s">
        <v>25</v>
      </c>
    </row>
    <row r="125" spans="1:13" ht="26.4" customHeight="1" x14ac:dyDescent="0.3">
      <c r="A125" t="s">
        <v>16</v>
      </c>
      <c r="B125">
        <v>1</v>
      </c>
      <c r="C125">
        <v>3</v>
      </c>
      <c r="D125">
        <v>11</v>
      </c>
      <c r="E125">
        <v>0</v>
      </c>
      <c r="F125">
        <v>3</v>
      </c>
      <c r="G125">
        <v>1</v>
      </c>
      <c r="H125">
        <v>3</v>
      </c>
      <c r="I125">
        <v>0</v>
      </c>
      <c r="J125">
        <v>0</v>
      </c>
      <c r="K125">
        <f>SUM(Table1[[#This Row],[
Post and Telecommunications]:[Finance, Insurance, Real estate and Business services]])</f>
        <v>22</v>
      </c>
      <c r="L125" s="1">
        <v>42976</v>
      </c>
      <c r="M125" t="s">
        <v>26</v>
      </c>
    </row>
    <row r="126" spans="1:13" ht="26.4" customHeight="1" x14ac:dyDescent="0.3">
      <c r="A126" t="s">
        <v>16</v>
      </c>
      <c r="B126">
        <v>1</v>
      </c>
      <c r="C126">
        <v>10</v>
      </c>
      <c r="D126">
        <v>17</v>
      </c>
      <c r="E126">
        <v>0</v>
      </c>
      <c r="F126">
        <v>2</v>
      </c>
      <c r="G126">
        <v>0</v>
      </c>
      <c r="H126">
        <v>4</v>
      </c>
      <c r="I126">
        <v>0</v>
      </c>
      <c r="J126">
        <v>0</v>
      </c>
      <c r="K126">
        <f>SUM(Table1[[#This Row],[
Post and Telecommunications]:[Finance, Insurance, Real estate and Business services]])</f>
        <v>34</v>
      </c>
      <c r="L126" s="1">
        <v>43150</v>
      </c>
      <c r="M126" t="s">
        <v>2</v>
      </c>
    </row>
    <row r="127" spans="1:13" ht="26.4" customHeight="1" x14ac:dyDescent="0.3">
      <c r="A127" t="s">
        <v>16</v>
      </c>
      <c r="B127">
        <v>1</v>
      </c>
      <c r="C127">
        <v>4</v>
      </c>
      <c r="D127">
        <v>8</v>
      </c>
      <c r="E127">
        <v>0</v>
      </c>
      <c r="F127">
        <v>1</v>
      </c>
      <c r="G127">
        <v>0</v>
      </c>
      <c r="H127">
        <v>3</v>
      </c>
      <c r="I127">
        <v>1</v>
      </c>
      <c r="J127">
        <v>0</v>
      </c>
      <c r="K127">
        <f>SUM(Table1[[#This Row],[
Post and Telecommunications]:[Finance, Insurance, Real estate and Business services]])</f>
        <v>18</v>
      </c>
      <c r="L127" s="1">
        <v>43239</v>
      </c>
      <c r="M127" t="s">
        <v>24</v>
      </c>
    </row>
    <row r="128" spans="1:13" ht="26.4" customHeight="1" x14ac:dyDescent="0.3">
      <c r="A128" t="s">
        <v>16</v>
      </c>
      <c r="B128">
        <v>0</v>
      </c>
      <c r="C128">
        <v>3</v>
      </c>
      <c r="D128">
        <v>3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1</v>
      </c>
      <c r="K128">
        <f>SUM(Table1[[#This Row],[
Post and Telecommunications]:[Finance, Insurance, Real estate and Business services]])</f>
        <v>8</v>
      </c>
      <c r="L128" s="1">
        <v>43239</v>
      </c>
      <c r="M128" t="s">
        <v>24</v>
      </c>
    </row>
    <row r="129" spans="1:13" ht="26.4" customHeight="1" x14ac:dyDescent="0.3">
      <c r="A129" t="s">
        <v>16</v>
      </c>
      <c r="B129">
        <v>1</v>
      </c>
      <c r="C129">
        <v>10</v>
      </c>
      <c r="D129">
        <v>18</v>
      </c>
      <c r="E129">
        <v>0</v>
      </c>
      <c r="F129">
        <v>2</v>
      </c>
      <c r="G129">
        <v>0</v>
      </c>
      <c r="H129">
        <v>4</v>
      </c>
      <c r="I129">
        <v>0</v>
      </c>
      <c r="J129">
        <v>3</v>
      </c>
      <c r="K129">
        <f>SUM(Table1[[#This Row],[
Post and Telecommunications]:[Finance, Insurance, Real estate and Business services]])</f>
        <v>38</v>
      </c>
      <c r="L129" s="1">
        <v>43239</v>
      </c>
      <c r="M129" t="s">
        <v>24</v>
      </c>
    </row>
    <row r="130" spans="1:13" ht="26.4" customHeight="1" x14ac:dyDescent="0.3">
      <c r="A130" t="s">
        <v>4</v>
      </c>
      <c r="B130">
        <v>0</v>
      </c>
      <c r="C130">
        <v>6</v>
      </c>
      <c r="D130">
        <v>25</v>
      </c>
      <c r="E130">
        <v>0</v>
      </c>
      <c r="F130">
        <v>0</v>
      </c>
      <c r="G130">
        <v>1</v>
      </c>
      <c r="H130">
        <v>2</v>
      </c>
      <c r="I130">
        <v>1</v>
      </c>
      <c r="J130">
        <v>2</v>
      </c>
      <c r="K130">
        <f>SUM(Table1[[#This Row],[
Post and Telecommunications]:[Finance, Insurance, Real estate and Business services]])</f>
        <v>37</v>
      </c>
      <c r="L130" s="1">
        <v>42403</v>
      </c>
      <c r="M130" t="s">
        <v>2</v>
      </c>
    </row>
    <row r="131" spans="1:13" ht="26.4" customHeight="1" x14ac:dyDescent="0.3">
      <c r="A131" t="s">
        <v>4</v>
      </c>
      <c r="B131">
        <v>1</v>
      </c>
      <c r="C131">
        <v>5</v>
      </c>
      <c r="D131">
        <v>9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1</v>
      </c>
      <c r="K131">
        <f>SUM(Table1[[#This Row],[
Post and Telecommunications]:[Finance, Insurance, Real estate and Business services]])</f>
        <v>18</v>
      </c>
      <c r="L131" s="1">
        <v>42485</v>
      </c>
      <c r="M131" t="s">
        <v>24</v>
      </c>
    </row>
    <row r="132" spans="1:13" ht="26.4" customHeight="1" x14ac:dyDescent="0.3">
      <c r="A132" t="s">
        <v>4</v>
      </c>
      <c r="B132">
        <v>0</v>
      </c>
      <c r="C132">
        <v>6</v>
      </c>
      <c r="D132">
        <v>2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0</v>
      </c>
      <c r="K132">
        <f>SUM(Table1[[#This Row],[
Post and Telecommunications]:[Finance, Insurance, Real estate and Business services]])</f>
        <v>10</v>
      </c>
      <c r="L132" s="1">
        <v>42558</v>
      </c>
      <c r="M132" t="s">
        <v>25</v>
      </c>
    </row>
    <row r="133" spans="1:13" ht="26.4" customHeight="1" x14ac:dyDescent="0.3">
      <c r="A133" t="s">
        <v>4</v>
      </c>
      <c r="B133">
        <v>0</v>
      </c>
      <c r="C133">
        <v>3</v>
      </c>
      <c r="D133">
        <v>6</v>
      </c>
      <c r="E133">
        <v>0</v>
      </c>
      <c r="F133">
        <v>0</v>
      </c>
      <c r="G133">
        <v>3</v>
      </c>
      <c r="H133">
        <v>3</v>
      </c>
      <c r="I133">
        <v>0</v>
      </c>
      <c r="J133">
        <v>0</v>
      </c>
      <c r="K133">
        <f>SUM(Table1[[#This Row],[
Post and Telecommunications]:[Finance, Insurance, Real estate and Business services]])</f>
        <v>15</v>
      </c>
      <c r="L133" s="1">
        <v>42624</v>
      </c>
      <c r="M133" t="s">
        <v>26</v>
      </c>
    </row>
    <row r="134" spans="1:13" ht="26.4" customHeight="1" x14ac:dyDescent="0.3">
      <c r="A134" t="s">
        <v>4</v>
      </c>
      <c r="C134">
        <v>9</v>
      </c>
      <c r="D134">
        <v>19</v>
      </c>
      <c r="E134">
        <v>1</v>
      </c>
      <c r="F134">
        <v>1</v>
      </c>
      <c r="G134">
        <v>3</v>
      </c>
      <c r="H134">
        <v>0</v>
      </c>
      <c r="I134">
        <v>1</v>
      </c>
      <c r="J134">
        <v>2</v>
      </c>
      <c r="K134">
        <f>SUM(Table1[[#This Row],[
Post and Telecommunications]:[Finance, Insurance, Real estate and Business services]])</f>
        <v>36</v>
      </c>
      <c r="L134" s="1">
        <v>42783</v>
      </c>
      <c r="M134" t="s">
        <v>2</v>
      </c>
    </row>
    <row r="135" spans="1:13" ht="26.4" customHeight="1" x14ac:dyDescent="0.3">
      <c r="A135" t="s">
        <v>4</v>
      </c>
      <c r="B135">
        <v>0</v>
      </c>
      <c r="C135">
        <v>6</v>
      </c>
      <c r="D135">
        <v>15</v>
      </c>
      <c r="E135">
        <v>0</v>
      </c>
      <c r="F135">
        <v>1</v>
      </c>
      <c r="G135">
        <v>6</v>
      </c>
      <c r="H135">
        <v>3</v>
      </c>
      <c r="I135">
        <v>0</v>
      </c>
      <c r="J135">
        <v>1</v>
      </c>
      <c r="K135">
        <f>SUM(Table1[[#This Row],[
Post and Telecommunications]:[Finance, Insurance, Real estate and Business services]])</f>
        <v>32</v>
      </c>
      <c r="L135" s="1">
        <v>42924</v>
      </c>
      <c r="M135" t="s">
        <v>24</v>
      </c>
    </row>
    <row r="136" spans="1:13" ht="26.4" customHeight="1" x14ac:dyDescent="0.3">
      <c r="A136" t="s">
        <v>4</v>
      </c>
      <c r="B136">
        <v>0</v>
      </c>
      <c r="C136">
        <v>0</v>
      </c>
      <c r="D136">
        <v>14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f>SUM(Table1[[#This Row],[
Post and Telecommunications]:[Finance, Insurance, Real estate and Business services]])</f>
        <v>16</v>
      </c>
      <c r="L136" s="1">
        <v>42964</v>
      </c>
      <c r="M136" t="s">
        <v>25</v>
      </c>
    </row>
    <row r="137" spans="1:13" ht="26.4" customHeight="1" x14ac:dyDescent="0.3">
      <c r="A137" t="s">
        <v>4</v>
      </c>
      <c r="B137">
        <v>0</v>
      </c>
      <c r="C137">
        <v>4</v>
      </c>
      <c r="D137">
        <v>25</v>
      </c>
      <c r="E137">
        <v>0</v>
      </c>
      <c r="F137">
        <v>0</v>
      </c>
      <c r="G137">
        <v>5</v>
      </c>
      <c r="H137">
        <v>3</v>
      </c>
      <c r="I137">
        <v>0</v>
      </c>
      <c r="J137">
        <v>0</v>
      </c>
      <c r="K137">
        <f>SUM(Table1[[#This Row],[
Post and Telecommunications]:[Finance, Insurance, Real estate and Business services]])</f>
        <v>37</v>
      </c>
      <c r="L137" s="1">
        <v>42964</v>
      </c>
      <c r="M137" t="s">
        <v>26</v>
      </c>
    </row>
    <row r="138" spans="1:13" ht="26.4" customHeight="1" x14ac:dyDescent="0.3">
      <c r="A138" t="s">
        <v>4</v>
      </c>
      <c r="B138">
        <v>0</v>
      </c>
      <c r="C138">
        <v>10</v>
      </c>
      <c r="D138">
        <v>25</v>
      </c>
      <c r="E138">
        <v>1</v>
      </c>
      <c r="F138">
        <v>2</v>
      </c>
      <c r="G138">
        <v>5</v>
      </c>
      <c r="H138">
        <v>4</v>
      </c>
      <c r="I138">
        <v>0</v>
      </c>
      <c r="J138">
        <v>0</v>
      </c>
      <c r="K138">
        <f>SUM(Table1[[#This Row],[
Post and Telecommunications]:[Finance, Insurance, Real estate and Business services]])</f>
        <v>47</v>
      </c>
      <c r="L138" s="1">
        <v>43138</v>
      </c>
      <c r="M138" t="s">
        <v>2</v>
      </c>
    </row>
    <row r="139" spans="1:13" ht="26.4" customHeight="1" x14ac:dyDescent="0.3">
      <c r="A139" t="s">
        <v>4</v>
      </c>
      <c r="B139">
        <v>0</v>
      </c>
      <c r="C139">
        <v>6</v>
      </c>
      <c r="D139">
        <v>19</v>
      </c>
      <c r="E139">
        <v>0</v>
      </c>
      <c r="F139">
        <v>0</v>
      </c>
      <c r="G139">
        <v>0</v>
      </c>
      <c r="H139">
        <v>7</v>
      </c>
      <c r="I139">
        <v>1</v>
      </c>
      <c r="J139">
        <v>0</v>
      </c>
      <c r="K139">
        <f>SUM(Table1[[#This Row],[
Post and Telecommunications]:[Finance, Insurance, Real estate and Business services]])</f>
        <v>33</v>
      </c>
      <c r="L139" s="1">
        <v>43227</v>
      </c>
      <c r="M139" t="s">
        <v>24</v>
      </c>
    </row>
    <row r="140" spans="1:13" ht="26.4" customHeight="1" x14ac:dyDescent="0.3">
      <c r="A140" t="s">
        <v>4</v>
      </c>
      <c r="B140">
        <v>1</v>
      </c>
      <c r="C140">
        <v>3</v>
      </c>
      <c r="D140">
        <v>12</v>
      </c>
      <c r="E140">
        <v>0</v>
      </c>
      <c r="F140">
        <v>1</v>
      </c>
      <c r="G140">
        <v>3</v>
      </c>
      <c r="H140">
        <v>3</v>
      </c>
      <c r="I140">
        <v>1</v>
      </c>
      <c r="J140">
        <v>0</v>
      </c>
      <c r="K140">
        <f>SUM(Table1[[#This Row],[
Post and Telecommunications]:[Finance, Insurance, Real estate and Business services]])</f>
        <v>24</v>
      </c>
      <c r="L140" s="1">
        <v>43227</v>
      </c>
      <c r="M140" t="s">
        <v>24</v>
      </c>
    </row>
    <row r="141" spans="1:13" ht="26.4" customHeight="1" x14ac:dyDescent="0.3">
      <c r="A141" t="s">
        <v>4</v>
      </c>
      <c r="B141">
        <v>1</v>
      </c>
      <c r="C141">
        <v>5</v>
      </c>
      <c r="D141">
        <v>14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0</v>
      </c>
      <c r="K141">
        <f>SUM(Table1[[#This Row],[
Post and Telecommunications]:[Finance, Insurance, Real estate and Business services]])</f>
        <v>23</v>
      </c>
      <c r="L141" s="1">
        <v>43227</v>
      </c>
      <c r="M141" t="s">
        <v>24</v>
      </c>
    </row>
    <row r="142" spans="1:13" ht="26.4" customHeight="1" x14ac:dyDescent="0.3">
      <c r="A142" t="s">
        <v>19</v>
      </c>
      <c r="B142">
        <v>4</v>
      </c>
      <c r="C142">
        <v>22</v>
      </c>
      <c r="D142">
        <v>163</v>
      </c>
      <c r="E142">
        <v>0</v>
      </c>
      <c r="F142">
        <v>1</v>
      </c>
      <c r="G142">
        <v>1</v>
      </c>
      <c r="H142">
        <v>10</v>
      </c>
      <c r="I142">
        <v>1</v>
      </c>
      <c r="J142">
        <v>32</v>
      </c>
      <c r="K142">
        <f>SUM(Table1[[#This Row],[
Post and Telecommunications]:[Finance, Insurance, Real estate and Business services]])</f>
        <v>234</v>
      </c>
      <c r="L142" s="1">
        <v>42418</v>
      </c>
      <c r="M142" t="s">
        <v>2</v>
      </c>
    </row>
    <row r="143" spans="1:13" ht="26.4" customHeight="1" x14ac:dyDescent="0.3">
      <c r="A143" t="s">
        <v>19</v>
      </c>
      <c r="B143">
        <v>2</v>
      </c>
      <c r="C143">
        <v>12</v>
      </c>
      <c r="D143">
        <v>119</v>
      </c>
      <c r="E143">
        <v>0</v>
      </c>
      <c r="F143">
        <v>2</v>
      </c>
      <c r="G143">
        <v>1</v>
      </c>
      <c r="H143">
        <v>10</v>
      </c>
      <c r="I143">
        <v>1</v>
      </c>
      <c r="J143">
        <v>17</v>
      </c>
      <c r="K143">
        <f>SUM(Table1[[#This Row],[
Post and Telecommunications]:[Finance, Insurance, Real estate and Business services]])</f>
        <v>164</v>
      </c>
      <c r="L143" s="1">
        <v>42500</v>
      </c>
      <c r="M143" t="s">
        <v>24</v>
      </c>
    </row>
    <row r="144" spans="1:13" ht="26.4" customHeight="1" x14ac:dyDescent="0.3">
      <c r="A144" t="s">
        <v>19</v>
      </c>
      <c r="B144">
        <v>2</v>
      </c>
      <c r="C144">
        <v>3</v>
      </c>
      <c r="D144">
        <v>92</v>
      </c>
      <c r="E144">
        <v>1</v>
      </c>
      <c r="F144">
        <v>2</v>
      </c>
      <c r="G144">
        <v>1</v>
      </c>
      <c r="H144">
        <v>6</v>
      </c>
      <c r="I144">
        <v>2</v>
      </c>
      <c r="J144">
        <v>16</v>
      </c>
      <c r="K144">
        <f>SUM(Table1[[#This Row],[
Post and Telecommunications]:[Finance, Insurance, Real estate and Business services]])</f>
        <v>125</v>
      </c>
      <c r="L144" s="1">
        <v>42573</v>
      </c>
      <c r="M144" t="s">
        <v>25</v>
      </c>
    </row>
    <row r="145" spans="1:13" ht="26.4" customHeight="1" x14ac:dyDescent="0.3">
      <c r="A145" t="s">
        <v>19</v>
      </c>
      <c r="B145">
        <v>2</v>
      </c>
      <c r="C145">
        <v>7</v>
      </c>
      <c r="D145">
        <v>177</v>
      </c>
      <c r="E145">
        <v>1</v>
      </c>
      <c r="F145">
        <v>1</v>
      </c>
      <c r="G145">
        <v>1</v>
      </c>
      <c r="H145">
        <v>6</v>
      </c>
      <c r="I145">
        <v>1</v>
      </c>
      <c r="J145">
        <v>47</v>
      </c>
      <c r="K145">
        <f>SUM(Table1[[#This Row],[
Post and Telecommunications]:[Finance, Insurance, Real estate and Business services]])</f>
        <v>243</v>
      </c>
      <c r="L145" s="1">
        <v>42639</v>
      </c>
      <c r="M145" t="s">
        <v>26</v>
      </c>
    </row>
    <row r="146" spans="1:13" ht="26.4" customHeight="1" x14ac:dyDescent="0.3">
      <c r="A146" t="s">
        <v>19</v>
      </c>
      <c r="B146">
        <v>1</v>
      </c>
      <c r="C146">
        <v>14</v>
      </c>
      <c r="D146">
        <v>162</v>
      </c>
      <c r="E146">
        <v>6</v>
      </c>
      <c r="H146">
        <v>17</v>
      </c>
      <c r="J146">
        <v>62</v>
      </c>
      <c r="K146">
        <f>SUM(Table1[[#This Row],[
Post and Telecommunications]:[Finance, Insurance, Real estate and Business services]])</f>
        <v>262</v>
      </c>
      <c r="L146" s="1">
        <v>42798</v>
      </c>
      <c r="M146" t="s">
        <v>2</v>
      </c>
    </row>
    <row r="147" spans="1:13" ht="26.4" customHeight="1" x14ac:dyDescent="0.3">
      <c r="A147" t="s">
        <v>19</v>
      </c>
      <c r="B147">
        <v>1</v>
      </c>
      <c r="C147">
        <v>7</v>
      </c>
      <c r="D147">
        <v>103</v>
      </c>
      <c r="E147">
        <v>8</v>
      </c>
      <c r="F147">
        <v>1</v>
      </c>
      <c r="G147">
        <v>0</v>
      </c>
      <c r="H147">
        <v>3</v>
      </c>
      <c r="I147">
        <v>1</v>
      </c>
      <c r="J147">
        <v>39</v>
      </c>
      <c r="K147">
        <f>SUM(Table1[[#This Row],[
Post and Telecommunications]:[Finance, Insurance, Real estate and Business services]])</f>
        <v>163</v>
      </c>
      <c r="L147" s="1">
        <v>42924</v>
      </c>
      <c r="M147" t="s">
        <v>24</v>
      </c>
    </row>
    <row r="148" spans="1:13" ht="26.4" customHeight="1" x14ac:dyDescent="0.3">
      <c r="A148" t="s">
        <v>19</v>
      </c>
      <c r="B148">
        <v>0</v>
      </c>
      <c r="C148">
        <v>9</v>
      </c>
      <c r="D148">
        <v>97</v>
      </c>
      <c r="E148">
        <v>7</v>
      </c>
      <c r="F148">
        <v>1</v>
      </c>
      <c r="G148">
        <v>1</v>
      </c>
      <c r="H148">
        <v>5</v>
      </c>
      <c r="I148">
        <v>1</v>
      </c>
      <c r="J148">
        <v>45</v>
      </c>
      <c r="K148">
        <f>SUM(Table1[[#This Row],[
Post and Telecommunications]:[Finance, Insurance, Real estate and Business services]])</f>
        <v>166</v>
      </c>
      <c r="L148" s="1">
        <v>42978</v>
      </c>
      <c r="M148" t="s">
        <v>25</v>
      </c>
    </row>
    <row r="149" spans="1:13" ht="26.4" customHeight="1" x14ac:dyDescent="0.3">
      <c r="A149" t="s">
        <v>19</v>
      </c>
      <c r="B149">
        <v>0</v>
      </c>
      <c r="C149">
        <v>4</v>
      </c>
      <c r="D149">
        <v>151</v>
      </c>
      <c r="E149">
        <v>5</v>
      </c>
      <c r="F149">
        <v>0</v>
      </c>
      <c r="G149">
        <v>0</v>
      </c>
      <c r="H149">
        <v>12</v>
      </c>
      <c r="I149">
        <v>1</v>
      </c>
      <c r="J149">
        <v>61</v>
      </c>
      <c r="K149">
        <f>SUM(Table1[[#This Row],[
Post and Telecommunications]:[Finance, Insurance, Real estate and Business services]])</f>
        <v>234</v>
      </c>
      <c r="L149" s="1">
        <v>42979</v>
      </c>
      <c r="M149" t="s">
        <v>26</v>
      </c>
    </row>
    <row r="150" spans="1:13" ht="26.4" customHeight="1" x14ac:dyDescent="0.3">
      <c r="A150" t="s">
        <v>19</v>
      </c>
      <c r="B150">
        <v>1</v>
      </c>
      <c r="C150">
        <v>7</v>
      </c>
      <c r="D150">
        <v>147</v>
      </c>
      <c r="E150">
        <v>4</v>
      </c>
      <c r="F150">
        <v>0</v>
      </c>
      <c r="G150">
        <v>0</v>
      </c>
      <c r="H150">
        <v>6</v>
      </c>
      <c r="I150">
        <v>2</v>
      </c>
      <c r="J150">
        <v>53</v>
      </c>
      <c r="K150">
        <f>SUM(Table1[[#This Row],[
Post and Telecommunications]:[Finance, Insurance, Real estate and Business services]])</f>
        <v>220</v>
      </c>
      <c r="L150" s="1">
        <v>43153</v>
      </c>
      <c r="M150" t="s">
        <v>2</v>
      </c>
    </row>
    <row r="151" spans="1:13" ht="26.4" customHeight="1" x14ac:dyDescent="0.3">
      <c r="A151" t="s">
        <v>19</v>
      </c>
      <c r="B151">
        <v>0</v>
      </c>
      <c r="C151">
        <v>9</v>
      </c>
      <c r="D151">
        <v>123</v>
      </c>
      <c r="E151">
        <v>7</v>
      </c>
      <c r="F151">
        <v>0</v>
      </c>
      <c r="G151">
        <v>0</v>
      </c>
      <c r="H151">
        <v>8</v>
      </c>
      <c r="I151">
        <v>0</v>
      </c>
      <c r="J151">
        <v>61</v>
      </c>
      <c r="K151">
        <f>SUM(Table1[[#This Row],[
Post and Telecommunications]:[Finance, Insurance, Real estate and Business services]])</f>
        <v>208</v>
      </c>
      <c r="L151" s="1">
        <v>43242</v>
      </c>
      <c r="M151" t="s">
        <v>24</v>
      </c>
    </row>
    <row r="152" spans="1:13" ht="26.4" customHeight="1" x14ac:dyDescent="0.3">
      <c r="A152" t="s">
        <v>19</v>
      </c>
      <c r="B152">
        <v>3</v>
      </c>
      <c r="C152">
        <v>3</v>
      </c>
      <c r="D152">
        <v>95</v>
      </c>
      <c r="E152">
        <v>2</v>
      </c>
      <c r="F152">
        <v>1</v>
      </c>
      <c r="G152">
        <v>1</v>
      </c>
      <c r="H152">
        <v>5</v>
      </c>
      <c r="I152">
        <v>1</v>
      </c>
      <c r="J152">
        <v>32</v>
      </c>
      <c r="K152">
        <f>SUM(Table1[[#This Row],[
Post and Telecommunications]:[Finance, Insurance, Real estate and Business services]])</f>
        <v>143</v>
      </c>
      <c r="L152" s="1">
        <v>43242</v>
      </c>
      <c r="M152" t="s">
        <v>24</v>
      </c>
    </row>
    <row r="153" spans="1:13" ht="26.4" customHeight="1" x14ac:dyDescent="0.3">
      <c r="A153" t="s">
        <v>19</v>
      </c>
      <c r="B153">
        <v>1</v>
      </c>
      <c r="C153">
        <v>8</v>
      </c>
      <c r="D153">
        <v>62</v>
      </c>
      <c r="E153">
        <v>0</v>
      </c>
      <c r="F153">
        <v>0</v>
      </c>
      <c r="G153">
        <v>0</v>
      </c>
      <c r="H153">
        <v>5</v>
      </c>
      <c r="I153">
        <v>1</v>
      </c>
      <c r="J153">
        <v>29</v>
      </c>
      <c r="K153">
        <f>SUM(Table1[[#This Row],[
Post and Telecommunications]:[Finance, Insurance, Real estate and Business services]])</f>
        <v>106</v>
      </c>
      <c r="L153" s="1">
        <v>43242</v>
      </c>
      <c r="M153" t="s">
        <v>24</v>
      </c>
    </row>
    <row r="154" spans="1:13" ht="26.4" customHeight="1" x14ac:dyDescent="0.3">
      <c r="A154" t="s">
        <v>15</v>
      </c>
      <c r="B154">
        <v>14</v>
      </c>
      <c r="C154">
        <v>61</v>
      </c>
      <c r="D154">
        <v>288</v>
      </c>
      <c r="E154">
        <v>17</v>
      </c>
      <c r="F154">
        <v>24</v>
      </c>
      <c r="G154">
        <v>3</v>
      </c>
      <c r="H154">
        <v>84</v>
      </c>
      <c r="I154">
        <v>15</v>
      </c>
      <c r="J154">
        <v>32</v>
      </c>
      <c r="K154">
        <f>SUM(Table1[[#This Row],[
Post and Telecommunications]:[Finance, Insurance, Real estate and Business services]])</f>
        <v>538</v>
      </c>
      <c r="L154" s="1">
        <v>42414</v>
      </c>
      <c r="M154" t="s">
        <v>2</v>
      </c>
    </row>
    <row r="155" spans="1:13" ht="26.4" customHeight="1" x14ac:dyDescent="0.3">
      <c r="A155" t="s">
        <v>15</v>
      </c>
      <c r="B155">
        <v>25</v>
      </c>
      <c r="C155">
        <v>64</v>
      </c>
      <c r="D155">
        <v>310</v>
      </c>
      <c r="E155">
        <v>17</v>
      </c>
      <c r="F155">
        <v>21</v>
      </c>
      <c r="G155">
        <v>0</v>
      </c>
      <c r="H155">
        <v>66</v>
      </c>
      <c r="I155">
        <v>11</v>
      </c>
      <c r="J155">
        <v>111</v>
      </c>
      <c r="K155">
        <f>SUM(Table1[[#This Row],[
Post and Telecommunications]:[Finance, Insurance, Real estate and Business services]])</f>
        <v>625</v>
      </c>
      <c r="L155" s="1">
        <v>42496</v>
      </c>
      <c r="M155" t="s">
        <v>24</v>
      </c>
    </row>
    <row r="156" spans="1:13" ht="26.4" customHeight="1" x14ac:dyDescent="0.3">
      <c r="A156" t="s">
        <v>15</v>
      </c>
      <c r="B156">
        <v>26</v>
      </c>
      <c r="C156">
        <v>58</v>
      </c>
      <c r="D156">
        <v>240</v>
      </c>
      <c r="E156">
        <v>16</v>
      </c>
      <c r="F156">
        <v>22</v>
      </c>
      <c r="G156">
        <v>0</v>
      </c>
      <c r="H156">
        <v>95</v>
      </c>
      <c r="I156">
        <v>15</v>
      </c>
      <c r="J156">
        <v>33</v>
      </c>
      <c r="K156">
        <f>SUM(Table1[[#This Row],[
Post and Telecommunications]:[Finance, Insurance, Real estate and Business services]])</f>
        <v>505</v>
      </c>
      <c r="L156" s="1">
        <v>42569</v>
      </c>
      <c r="M156" t="s">
        <v>25</v>
      </c>
    </row>
    <row r="157" spans="1:13" ht="26.4" customHeight="1" x14ac:dyDescent="0.3">
      <c r="A157" t="s">
        <v>15</v>
      </c>
      <c r="B157">
        <v>17</v>
      </c>
      <c r="C157">
        <v>66</v>
      </c>
      <c r="D157">
        <v>260</v>
      </c>
      <c r="E157">
        <v>18</v>
      </c>
      <c r="F157">
        <v>3</v>
      </c>
      <c r="G157">
        <v>4</v>
      </c>
      <c r="H157">
        <v>70</v>
      </c>
      <c r="I157">
        <v>9</v>
      </c>
      <c r="J157">
        <v>35</v>
      </c>
      <c r="K157">
        <f>SUM(Table1[[#This Row],[
Post and Telecommunications]:[Finance, Insurance, Real estate and Business services]])</f>
        <v>482</v>
      </c>
      <c r="L157" s="1">
        <v>42635</v>
      </c>
      <c r="M157" t="s">
        <v>26</v>
      </c>
    </row>
    <row r="158" spans="1:13" ht="26.4" customHeight="1" x14ac:dyDescent="0.3">
      <c r="A158" t="s">
        <v>15</v>
      </c>
      <c r="B158">
        <v>20</v>
      </c>
      <c r="C158">
        <v>56</v>
      </c>
      <c r="D158">
        <v>264</v>
      </c>
      <c r="E158">
        <v>14</v>
      </c>
      <c r="F158">
        <v>19</v>
      </c>
      <c r="G158">
        <v>4</v>
      </c>
      <c r="H158">
        <v>81</v>
      </c>
      <c r="I158">
        <v>8</v>
      </c>
      <c r="J158">
        <v>29</v>
      </c>
      <c r="K158">
        <f>SUM(Table1[[#This Row],[
Post and Telecommunications]:[Finance, Insurance, Real estate and Business services]])</f>
        <v>495</v>
      </c>
      <c r="L158" s="1">
        <v>42794</v>
      </c>
      <c r="M158" t="s">
        <v>2</v>
      </c>
    </row>
    <row r="159" spans="1:13" ht="26.4" customHeight="1" x14ac:dyDescent="0.3">
      <c r="A159" t="s">
        <v>15</v>
      </c>
      <c r="B159">
        <v>9</v>
      </c>
      <c r="C159">
        <v>33</v>
      </c>
      <c r="D159">
        <v>183</v>
      </c>
      <c r="E159">
        <v>15</v>
      </c>
      <c r="F159">
        <v>5</v>
      </c>
      <c r="G159">
        <v>0</v>
      </c>
      <c r="H159">
        <v>43</v>
      </c>
      <c r="I159">
        <v>2</v>
      </c>
      <c r="J159">
        <v>25</v>
      </c>
      <c r="K159">
        <f>SUM(Table1[[#This Row],[
Post and Telecommunications]:[Finance, Insurance, Real estate and Business services]])</f>
        <v>315</v>
      </c>
      <c r="L159" s="1">
        <v>42924</v>
      </c>
      <c r="M159" t="s">
        <v>24</v>
      </c>
    </row>
    <row r="160" spans="1:13" ht="26.4" customHeight="1" x14ac:dyDescent="0.3">
      <c r="A160" t="s">
        <v>15</v>
      </c>
      <c r="B160">
        <v>12</v>
      </c>
      <c r="C160">
        <v>25</v>
      </c>
      <c r="D160">
        <v>130</v>
      </c>
      <c r="E160">
        <v>12</v>
      </c>
      <c r="F160">
        <v>4</v>
      </c>
      <c r="G160">
        <v>0</v>
      </c>
      <c r="H160">
        <v>51</v>
      </c>
      <c r="I160">
        <v>6</v>
      </c>
      <c r="J160">
        <v>31</v>
      </c>
      <c r="K160">
        <f>SUM(Table1[[#This Row],[
Post and Telecommunications]:[Finance, Insurance, Real estate and Business services]])</f>
        <v>271</v>
      </c>
      <c r="L160" s="1">
        <v>42975</v>
      </c>
      <c r="M160" t="s">
        <v>25</v>
      </c>
    </row>
    <row r="161" spans="1:13" ht="26.4" customHeight="1" x14ac:dyDescent="0.3">
      <c r="A161" t="s">
        <v>15</v>
      </c>
      <c r="B161">
        <v>14</v>
      </c>
      <c r="C161">
        <v>42</v>
      </c>
      <c r="D161">
        <v>222</v>
      </c>
      <c r="E161">
        <v>17</v>
      </c>
      <c r="F161">
        <v>12</v>
      </c>
      <c r="G161">
        <v>0</v>
      </c>
      <c r="H161">
        <v>68</v>
      </c>
      <c r="I161">
        <v>4</v>
      </c>
      <c r="J161">
        <v>45</v>
      </c>
      <c r="K161">
        <f>SUM(Table1[[#This Row],[
Post and Telecommunications]:[Finance, Insurance, Real estate and Business services]])</f>
        <v>424</v>
      </c>
      <c r="L161" s="1">
        <v>42975</v>
      </c>
      <c r="M161" t="s">
        <v>26</v>
      </c>
    </row>
    <row r="162" spans="1:13" ht="26.4" customHeight="1" x14ac:dyDescent="0.3">
      <c r="A162" t="s">
        <v>15</v>
      </c>
      <c r="B162">
        <v>13</v>
      </c>
      <c r="C162">
        <v>53</v>
      </c>
      <c r="D162">
        <v>213</v>
      </c>
      <c r="E162">
        <v>18</v>
      </c>
      <c r="F162">
        <v>12</v>
      </c>
      <c r="G162">
        <v>1</v>
      </c>
      <c r="H162">
        <v>71</v>
      </c>
      <c r="I162">
        <v>9</v>
      </c>
      <c r="J162">
        <v>50</v>
      </c>
      <c r="K162">
        <f>SUM(Table1[[#This Row],[
Post and Telecommunications]:[Finance, Insurance, Real estate and Business services]])</f>
        <v>440</v>
      </c>
      <c r="L162" s="1">
        <v>43149</v>
      </c>
      <c r="M162" t="s">
        <v>2</v>
      </c>
    </row>
    <row r="163" spans="1:13" ht="26.4" customHeight="1" x14ac:dyDescent="0.3">
      <c r="A163" t="s">
        <v>15</v>
      </c>
      <c r="B163">
        <v>13</v>
      </c>
      <c r="C163">
        <v>40</v>
      </c>
      <c r="D163">
        <v>218</v>
      </c>
      <c r="E163">
        <v>12</v>
      </c>
      <c r="F163">
        <v>15</v>
      </c>
      <c r="G163">
        <v>0</v>
      </c>
      <c r="H163">
        <v>58</v>
      </c>
      <c r="I163">
        <v>5</v>
      </c>
      <c r="J163">
        <v>32</v>
      </c>
      <c r="K163">
        <f>SUM(Table1[[#This Row],[
Post and Telecommunications]:[Finance, Insurance, Real estate and Business services]])</f>
        <v>393</v>
      </c>
      <c r="L163" s="1">
        <v>43238</v>
      </c>
      <c r="M163" t="s">
        <v>24</v>
      </c>
    </row>
    <row r="164" spans="1:13" ht="26.4" customHeight="1" x14ac:dyDescent="0.3">
      <c r="A164" t="s">
        <v>15</v>
      </c>
      <c r="B164">
        <v>16</v>
      </c>
      <c r="C164">
        <v>36</v>
      </c>
      <c r="D164">
        <v>188</v>
      </c>
      <c r="E164">
        <v>14</v>
      </c>
      <c r="F164">
        <v>10</v>
      </c>
      <c r="G164">
        <v>1</v>
      </c>
      <c r="H164">
        <v>69</v>
      </c>
      <c r="I164">
        <v>2</v>
      </c>
      <c r="J164">
        <v>36</v>
      </c>
      <c r="K164">
        <f>SUM(Table1[[#This Row],[
Post and Telecommunications]:[Finance, Insurance, Real estate and Business services]])</f>
        <v>372</v>
      </c>
      <c r="L164" s="1">
        <v>43238</v>
      </c>
      <c r="M164" t="s">
        <v>24</v>
      </c>
    </row>
    <row r="165" spans="1:13" ht="26.4" customHeight="1" x14ac:dyDescent="0.3">
      <c r="A165" t="s">
        <v>15</v>
      </c>
      <c r="B165">
        <v>14</v>
      </c>
      <c r="C165">
        <v>35</v>
      </c>
      <c r="D165">
        <v>158</v>
      </c>
      <c r="E165">
        <v>7</v>
      </c>
      <c r="F165">
        <v>5</v>
      </c>
      <c r="G165">
        <v>1</v>
      </c>
      <c r="H165">
        <v>58</v>
      </c>
      <c r="I165">
        <v>5</v>
      </c>
      <c r="J165">
        <v>35</v>
      </c>
      <c r="K165">
        <f>SUM(Table1[[#This Row],[
Post and Telecommunications]:[Finance, Insurance, Real estate and Business services]])</f>
        <v>318</v>
      </c>
      <c r="L165" s="1">
        <v>43238</v>
      </c>
      <c r="M165" t="s">
        <v>24</v>
      </c>
    </row>
    <row r="166" spans="1:13" ht="26.4" customHeight="1" x14ac:dyDescent="0.3">
      <c r="A166" t="s">
        <v>8</v>
      </c>
      <c r="B166">
        <v>7</v>
      </c>
      <c r="C166">
        <v>81</v>
      </c>
      <c r="D166">
        <v>438</v>
      </c>
      <c r="E166">
        <v>2</v>
      </c>
      <c r="F166">
        <v>21</v>
      </c>
      <c r="G166">
        <v>3</v>
      </c>
      <c r="H166">
        <v>44</v>
      </c>
      <c r="I166">
        <v>11</v>
      </c>
      <c r="J166">
        <v>18</v>
      </c>
      <c r="K166">
        <f>SUM(Table1[[#This Row],[
Post and Telecommunications]:[Finance, Insurance, Real estate and Business services]])</f>
        <v>625</v>
      </c>
      <c r="L166" s="1">
        <v>42407</v>
      </c>
      <c r="M166" t="s">
        <v>2</v>
      </c>
    </row>
    <row r="167" spans="1:13" ht="26.4" customHeight="1" x14ac:dyDescent="0.3">
      <c r="A167" t="s">
        <v>8</v>
      </c>
      <c r="B167">
        <v>3</v>
      </c>
      <c r="C167">
        <v>76</v>
      </c>
      <c r="D167">
        <v>370</v>
      </c>
      <c r="E167">
        <v>3</v>
      </c>
      <c r="F167">
        <v>19</v>
      </c>
      <c r="G167">
        <v>4</v>
      </c>
      <c r="H167">
        <v>54</v>
      </c>
      <c r="I167">
        <v>9</v>
      </c>
      <c r="J167">
        <v>24</v>
      </c>
      <c r="K167">
        <f>SUM(Table1[[#This Row],[
Post and Telecommunications]:[Finance, Insurance, Real estate and Business services]])</f>
        <v>562</v>
      </c>
      <c r="L167" s="1">
        <v>42489</v>
      </c>
      <c r="M167" t="s">
        <v>24</v>
      </c>
    </row>
    <row r="168" spans="1:13" ht="26.4" customHeight="1" x14ac:dyDescent="0.3">
      <c r="A168" t="s">
        <v>8</v>
      </c>
      <c r="B168">
        <v>5</v>
      </c>
      <c r="C168">
        <v>68</v>
      </c>
      <c r="D168">
        <v>331</v>
      </c>
      <c r="E168">
        <v>0</v>
      </c>
      <c r="F168">
        <v>11</v>
      </c>
      <c r="G168">
        <v>5</v>
      </c>
      <c r="H168">
        <v>52</v>
      </c>
      <c r="I168">
        <v>8</v>
      </c>
      <c r="J168">
        <v>9</v>
      </c>
      <c r="K168">
        <f>SUM(Table1[[#This Row],[
Post and Telecommunications]:[Finance, Insurance, Real estate and Business services]])</f>
        <v>489</v>
      </c>
      <c r="L168" s="1">
        <v>42562</v>
      </c>
      <c r="M168" t="s">
        <v>25</v>
      </c>
    </row>
    <row r="169" spans="1:13" ht="26.4" customHeight="1" x14ac:dyDescent="0.3">
      <c r="A169" t="s">
        <v>8</v>
      </c>
      <c r="B169">
        <v>5</v>
      </c>
      <c r="C169">
        <v>67</v>
      </c>
      <c r="D169">
        <v>357</v>
      </c>
      <c r="E169">
        <v>3</v>
      </c>
      <c r="F169">
        <v>6</v>
      </c>
      <c r="G169">
        <v>1</v>
      </c>
      <c r="H169">
        <v>50</v>
      </c>
      <c r="I169">
        <v>10</v>
      </c>
      <c r="J169">
        <v>18</v>
      </c>
      <c r="K169">
        <f>SUM(Table1[[#This Row],[
Post and Telecommunications]:[Finance, Insurance, Real estate and Business services]])</f>
        <v>517</v>
      </c>
      <c r="L169" s="1">
        <v>42628</v>
      </c>
      <c r="M169" t="s">
        <v>26</v>
      </c>
    </row>
    <row r="170" spans="1:13" ht="26.4" customHeight="1" x14ac:dyDescent="0.3">
      <c r="A170" t="s">
        <v>8</v>
      </c>
      <c r="B170">
        <v>10</v>
      </c>
      <c r="C170">
        <v>70</v>
      </c>
      <c r="D170">
        <v>370</v>
      </c>
      <c r="E170">
        <v>3</v>
      </c>
      <c r="F170">
        <v>14</v>
      </c>
      <c r="G170">
        <v>5</v>
      </c>
      <c r="H170">
        <v>38</v>
      </c>
      <c r="I170">
        <v>6</v>
      </c>
      <c r="J170">
        <v>19</v>
      </c>
      <c r="K170">
        <f>SUM(Table1[[#This Row],[
Post and Telecommunications]:[Finance, Insurance, Real estate and Business services]])</f>
        <v>535</v>
      </c>
      <c r="L170" s="1">
        <v>42787</v>
      </c>
      <c r="M170" t="s">
        <v>2</v>
      </c>
    </row>
    <row r="171" spans="1:13" ht="26.4" customHeight="1" x14ac:dyDescent="0.3">
      <c r="A171" t="s">
        <v>8</v>
      </c>
      <c r="B171">
        <v>8</v>
      </c>
      <c r="C171">
        <v>50</v>
      </c>
      <c r="D171">
        <v>265</v>
      </c>
      <c r="E171">
        <v>0</v>
      </c>
      <c r="F171">
        <v>13</v>
      </c>
      <c r="G171">
        <v>3</v>
      </c>
      <c r="H171">
        <v>36</v>
      </c>
      <c r="I171">
        <v>0</v>
      </c>
      <c r="J171">
        <v>23</v>
      </c>
      <c r="K171">
        <f>SUM(Table1[[#This Row],[
Post and Telecommunications]:[Finance, Insurance, Real estate and Business services]])</f>
        <v>398</v>
      </c>
      <c r="L171" s="1">
        <v>42924</v>
      </c>
      <c r="M171" t="s">
        <v>24</v>
      </c>
    </row>
    <row r="172" spans="1:13" ht="26.4" customHeight="1" x14ac:dyDescent="0.3">
      <c r="A172" t="s">
        <v>8</v>
      </c>
      <c r="B172">
        <v>13</v>
      </c>
      <c r="C172">
        <v>63</v>
      </c>
      <c r="D172">
        <v>266</v>
      </c>
      <c r="E172">
        <v>5</v>
      </c>
      <c r="F172">
        <v>14</v>
      </c>
      <c r="G172">
        <v>0</v>
      </c>
      <c r="H172">
        <v>32</v>
      </c>
      <c r="I172">
        <v>1</v>
      </c>
      <c r="J172">
        <v>21</v>
      </c>
      <c r="K172">
        <f>SUM(Table1[[#This Row],[
Post and Telecommunications]:[Finance, Insurance, Real estate and Business services]])</f>
        <v>415</v>
      </c>
      <c r="L172" s="1">
        <v>42968</v>
      </c>
      <c r="M172" t="s">
        <v>25</v>
      </c>
    </row>
    <row r="173" spans="1:13" ht="26.4" customHeight="1" x14ac:dyDescent="0.3">
      <c r="A173" t="s">
        <v>8</v>
      </c>
      <c r="B173">
        <v>13</v>
      </c>
      <c r="C173">
        <v>91</v>
      </c>
      <c r="D173">
        <v>375</v>
      </c>
      <c r="E173">
        <v>0</v>
      </c>
      <c r="F173">
        <v>12</v>
      </c>
      <c r="G173">
        <v>4</v>
      </c>
      <c r="H173">
        <v>60</v>
      </c>
      <c r="I173">
        <v>4</v>
      </c>
      <c r="J173">
        <v>40</v>
      </c>
      <c r="K173">
        <f>SUM(Table1[[#This Row],[
Post and Telecommunications]:[Finance, Insurance, Real estate and Business services]])</f>
        <v>599</v>
      </c>
      <c r="L173" s="1">
        <v>42968</v>
      </c>
      <c r="M173" t="s">
        <v>26</v>
      </c>
    </row>
    <row r="174" spans="1:13" ht="26.4" customHeight="1" x14ac:dyDescent="0.3">
      <c r="A174" t="s">
        <v>8</v>
      </c>
      <c r="B174">
        <v>6</v>
      </c>
      <c r="C174">
        <v>81</v>
      </c>
      <c r="D174">
        <v>441</v>
      </c>
      <c r="E174">
        <v>4</v>
      </c>
      <c r="F174">
        <v>17</v>
      </c>
      <c r="G174">
        <v>6</v>
      </c>
      <c r="H174">
        <v>61</v>
      </c>
      <c r="I174">
        <v>2</v>
      </c>
      <c r="J174">
        <v>55</v>
      </c>
      <c r="K174">
        <f>SUM(Table1[[#This Row],[
Post and Telecommunications]:[Finance, Insurance, Real estate and Business services]])</f>
        <v>673</v>
      </c>
      <c r="L174" s="1">
        <v>43142</v>
      </c>
      <c r="M174" t="s">
        <v>2</v>
      </c>
    </row>
    <row r="175" spans="1:13" ht="26.4" customHeight="1" x14ac:dyDescent="0.3">
      <c r="A175" t="s">
        <v>8</v>
      </c>
      <c r="B175">
        <v>3</v>
      </c>
      <c r="C175">
        <v>58</v>
      </c>
      <c r="D175">
        <v>354</v>
      </c>
      <c r="E175">
        <v>2</v>
      </c>
      <c r="F175">
        <v>11</v>
      </c>
      <c r="G175">
        <v>2</v>
      </c>
      <c r="H175">
        <v>39</v>
      </c>
      <c r="I175">
        <v>1</v>
      </c>
      <c r="J175">
        <v>34</v>
      </c>
      <c r="K175">
        <f>SUM(Table1[[#This Row],[
Post and Telecommunications]:[Finance, Insurance, Real estate and Business services]])</f>
        <v>504</v>
      </c>
      <c r="L175" s="1">
        <v>43231</v>
      </c>
      <c r="M175" t="s">
        <v>24</v>
      </c>
    </row>
    <row r="176" spans="1:13" ht="26.4" customHeight="1" x14ac:dyDescent="0.3">
      <c r="A176" t="s">
        <v>8</v>
      </c>
      <c r="B176">
        <v>7</v>
      </c>
      <c r="C176">
        <v>85</v>
      </c>
      <c r="D176">
        <v>366</v>
      </c>
      <c r="E176">
        <v>1</v>
      </c>
      <c r="F176">
        <v>24</v>
      </c>
      <c r="G176">
        <v>3</v>
      </c>
      <c r="H176">
        <v>59</v>
      </c>
      <c r="I176">
        <v>1</v>
      </c>
      <c r="J176">
        <v>20</v>
      </c>
      <c r="K176">
        <f>SUM(Table1[[#This Row],[
Post and Telecommunications]:[Finance, Insurance, Real estate and Business services]])</f>
        <v>566</v>
      </c>
      <c r="L176" s="1">
        <v>43231</v>
      </c>
      <c r="M176" t="s">
        <v>24</v>
      </c>
    </row>
    <row r="177" spans="1:13" ht="26.4" customHeight="1" x14ac:dyDescent="0.3">
      <c r="A177" t="s">
        <v>8</v>
      </c>
      <c r="B177">
        <v>5</v>
      </c>
      <c r="C177">
        <v>72</v>
      </c>
      <c r="D177">
        <v>348</v>
      </c>
      <c r="E177">
        <v>0</v>
      </c>
      <c r="F177">
        <v>17</v>
      </c>
      <c r="G177">
        <v>6</v>
      </c>
      <c r="H177">
        <v>43</v>
      </c>
      <c r="I177">
        <v>0</v>
      </c>
      <c r="J177">
        <v>18</v>
      </c>
      <c r="K177">
        <f>SUM(Table1[[#This Row],[
Post and Telecommunications]:[Finance, Insurance, Real estate and Business services]])</f>
        <v>509</v>
      </c>
      <c r="L177" s="1">
        <v>43231</v>
      </c>
      <c r="M177" t="s">
        <v>24</v>
      </c>
    </row>
    <row r="178" spans="1:13" ht="26.4" customHeight="1" x14ac:dyDescent="0.3">
      <c r="A178" t="s">
        <v>7</v>
      </c>
      <c r="B178">
        <v>5</v>
      </c>
      <c r="C178">
        <v>1529</v>
      </c>
      <c r="D178">
        <v>938</v>
      </c>
      <c r="E178">
        <v>5</v>
      </c>
      <c r="F178">
        <v>17</v>
      </c>
      <c r="G178">
        <v>2</v>
      </c>
      <c r="H178">
        <v>80</v>
      </c>
      <c r="I178">
        <v>4</v>
      </c>
      <c r="J178">
        <v>32</v>
      </c>
      <c r="K178">
        <f>SUM(Table1[[#This Row],[
Post and Telecommunications]:[Finance, Insurance, Real estate and Business services]])</f>
        <v>2612</v>
      </c>
      <c r="L178" s="1">
        <v>42406</v>
      </c>
      <c r="M178" t="s">
        <v>2</v>
      </c>
    </row>
    <row r="179" spans="1:13" ht="26.4" customHeight="1" x14ac:dyDescent="0.3">
      <c r="A179" t="s">
        <v>7</v>
      </c>
      <c r="B179">
        <v>5</v>
      </c>
      <c r="C179">
        <v>1342</v>
      </c>
      <c r="D179">
        <v>464</v>
      </c>
      <c r="E179">
        <v>5</v>
      </c>
      <c r="F179">
        <v>17</v>
      </c>
      <c r="G179">
        <v>6</v>
      </c>
      <c r="H179">
        <v>53</v>
      </c>
      <c r="I179">
        <v>7</v>
      </c>
      <c r="J179">
        <v>21</v>
      </c>
      <c r="K179">
        <f>SUM(Table1[[#This Row],[
Post and Telecommunications]:[Finance, Insurance, Real estate and Business services]])</f>
        <v>1920</v>
      </c>
      <c r="L179" s="1">
        <v>42488</v>
      </c>
      <c r="M179" t="s">
        <v>24</v>
      </c>
    </row>
    <row r="180" spans="1:13" ht="26.4" customHeight="1" x14ac:dyDescent="0.3">
      <c r="A180" t="s">
        <v>7</v>
      </c>
      <c r="B180">
        <v>10</v>
      </c>
      <c r="C180">
        <v>505</v>
      </c>
      <c r="D180">
        <v>303</v>
      </c>
      <c r="E180">
        <v>0</v>
      </c>
      <c r="F180">
        <v>10</v>
      </c>
      <c r="G180">
        <v>2</v>
      </c>
      <c r="H180">
        <v>46</v>
      </c>
      <c r="I180">
        <v>4</v>
      </c>
      <c r="J180">
        <v>21</v>
      </c>
      <c r="K180">
        <f>SUM(Table1[[#This Row],[
Post and Telecommunications]:[Finance, Insurance, Real estate and Business services]])</f>
        <v>901</v>
      </c>
      <c r="L180" s="1">
        <v>42561</v>
      </c>
      <c r="M180" t="s">
        <v>25</v>
      </c>
    </row>
    <row r="181" spans="1:13" ht="26.4" customHeight="1" x14ac:dyDescent="0.3">
      <c r="A181" t="s">
        <v>7</v>
      </c>
      <c r="B181">
        <v>6</v>
      </c>
      <c r="C181">
        <v>305</v>
      </c>
      <c r="D181">
        <v>398</v>
      </c>
      <c r="E181">
        <v>6</v>
      </c>
      <c r="F181">
        <v>29</v>
      </c>
      <c r="G181">
        <v>3</v>
      </c>
      <c r="H181">
        <v>46</v>
      </c>
      <c r="I181">
        <v>6</v>
      </c>
      <c r="J181">
        <v>36</v>
      </c>
      <c r="K181">
        <f>SUM(Table1[[#This Row],[
Post and Telecommunications]:[Finance, Insurance, Real estate and Business services]])</f>
        <v>835</v>
      </c>
      <c r="L181" s="1">
        <v>42627</v>
      </c>
      <c r="M181" t="s">
        <v>26</v>
      </c>
    </row>
    <row r="182" spans="1:13" ht="26.4" customHeight="1" x14ac:dyDescent="0.3">
      <c r="A182" t="s">
        <v>7</v>
      </c>
      <c r="B182">
        <v>5</v>
      </c>
      <c r="C182">
        <v>471</v>
      </c>
      <c r="D182">
        <v>424</v>
      </c>
      <c r="E182">
        <v>9</v>
      </c>
      <c r="F182">
        <v>8</v>
      </c>
      <c r="G182">
        <v>3</v>
      </c>
      <c r="H182">
        <v>42</v>
      </c>
      <c r="I182">
        <v>3</v>
      </c>
      <c r="J182">
        <v>39</v>
      </c>
      <c r="K182">
        <f>SUM(Table1[[#This Row],[
Post and Telecommunications]:[Finance, Insurance, Real estate and Business services]])</f>
        <v>1004</v>
      </c>
      <c r="L182" s="1">
        <v>42786</v>
      </c>
      <c r="M182" t="s">
        <v>2</v>
      </c>
    </row>
    <row r="183" spans="1:13" ht="26.4" customHeight="1" x14ac:dyDescent="0.3">
      <c r="A183" t="s">
        <v>7</v>
      </c>
      <c r="B183">
        <v>6</v>
      </c>
      <c r="C183">
        <v>558</v>
      </c>
      <c r="D183">
        <v>306</v>
      </c>
      <c r="E183">
        <v>4</v>
      </c>
      <c r="F183">
        <v>7</v>
      </c>
      <c r="G183">
        <v>4</v>
      </c>
      <c r="H183">
        <v>34</v>
      </c>
      <c r="I183">
        <v>2</v>
      </c>
      <c r="J183">
        <v>32</v>
      </c>
      <c r="K183">
        <f>SUM(Table1[[#This Row],[
Post and Telecommunications]:[Finance, Insurance, Real estate and Business services]])</f>
        <v>953</v>
      </c>
      <c r="L183" s="1">
        <v>42924</v>
      </c>
      <c r="M183" t="s">
        <v>24</v>
      </c>
    </row>
    <row r="184" spans="1:13" ht="26.4" customHeight="1" x14ac:dyDescent="0.3">
      <c r="A184" t="s">
        <v>7</v>
      </c>
      <c r="B184">
        <v>4</v>
      </c>
      <c r="C184">
        <v>256</v>
      </c>
      <c r="D184">
        <v>300</v>
      </c>
      <c r="E184">
        <v>5</v>
      </c>
      <c r="F184">
        <v>10</v>
      </c>
      <c r="G184">
        <v>4</v>
      </c>
      <c r="H184">
        <v>37</v>
      </c>
      <c r="I184">
        <v>4</v>
      </c>
      <c r="J184">
        <v>24</v>
      </c>
      <c r="K184">
        <f>SUM(Table1[[#This Row],[
Post and Telecommunications]:[Finance, Insurance, Real estate and Business services]])</f>
        <v>644</v>
      </c>
      <c r="L184" s="1">
        <v>42967</v>
      </c>
      <c r="M184" t="s">
        <v>25</v>
      </c>
    </row>
    <row r="185" spans="1:13" ht="26.4" customHeight="1" x14ac:dyDescent="0.3">
      <c r="A185" t="s">
        <v>7</v>
      </c>
      <c r="B185">
        <v>2</v>
      </c>
      <c r="C185">
        <v>225</v>
      </c>
      <c r="D185">
        <v>416</v>
      </c>
      <c r="E185">
        <v>3</v>
      </c>
      <c r="F185">
        <v>10</v>
      </c>
      <c r="G185">
        <v>4</v>
      </c>
      <c r="H185">
        <v>56</v>
      </c>
      <c r="I185">
        <v>4</v>
      </c>
      <c r="J185">
        <v>36</v>
      </c>
      <c r="K185">
        <f>SUM(Table1[[#This Row],[
Post and Telecommunications]:[Finance, Insurance, Real estate and Business services]])</f>
        <v>756</v>
      </c>
      <c r="L185" s="1">
        <v>42967</v>
      </c>
      <c r="M185" t="s">
        <v>26</v>
      </c>
    </row>
    <row r="186" spans="1:13" ht="26.4" customHeight="1" x14ac:dyDescent="0.3">
      <c r="A186" t="s">
        <v>7</v>
      </c>
      <c r="B186">
        <v>4</v>
      </c>
      <c r="C186">
        <v>50</v>
      </c>
      <c r="D186">
        <v>774</v>
      </c>
      <c r="E186">
        <v>3</v>
      </c>
      <c r="F186">
        <v>14</v>
      </c>
      <c r="G186">
        <v>2</v>
      </c>
      <c r="H186">
        <v>26</v>
      </c>
      <c r="I186">
        <v>5</v>
      </c>
      <c r="J186">
        <v>32</v>
      </c>
      <c r="K186">
        <f>SUM(Table1[[#This Row],[
Post and Telecommunications]:[Finance, Insurance, Real estate and Business services]])</f>
        <v>910</v>
      </c>
      <c r="L186" s="1">
        <v>43141</v>
      </c>
      <c r="M186" t="s">
        <v>2</v>
      </c>
    </row>
    <row r="187" spans="1:13" ht="26.4" customHeight="1" x14ac:dyDescent="0.3">
      <c r="A187" t="s">
        <v>7</v>
      </c>
      <c r="B187">
        <v>5</v>
      </c>
      <c r="C187">
        <v>57</v>
      </c>
      <c r="D187">
        <v>660</v>
      </c>
      <c r="E187">
        <v>2</v>
      </c>
      <c r="F187">
        <v>15</v>
      </c>
      <c r="G187">
        <v>2</v>
      </c>
      <c r="H187">
        <v>38</v>
      </c>
      <c r="I187">
        <v>3</v>
      </c>
      <c r="J187">
        <v>6</v>
      </c>
      <c r="K187">
        <f>SUM(Table1[[#This Row],[
Post and Telecommunications]:[Finance, Insurance, Real estate and Business services]])</f>
        <v>788</v>
      </c>
      <c r="L187" s="1">
        <v>43230</v>
      </c>
      <c r="M187" t="s">
        <v>24</v>
      </c>
    </row>
    <row r="188" spans="1:13" ht="26.4" customHeight="1" x14ac:dyDescent="0.3">
      <c r="A188" t="s">
        <v>7</v>
      </c>
      <c r="B188">
        <v>5</v>
      </c>
      <c r="C188">
        <v>48</v>
      </c>
      <c r="D188">
        <v>354</v>
      </c>
      <c r="E188">
        <v>7</v>
      </c>
      <c r="F188">
        <v>15</v>
      </c>
      <c r="G188">
        <v>1</v>
      </c>
      <c r="H188">
        <v>30</v>
      </c>
      <c r="I188">
        <v>3</v>
      </c>
      <c r="J188">
        <v>20</v>
      </c>
      <c r="K188">
        <f>SUM(Table1[[#This Row],[
Post and Telecommunications]:[Finance, Insurance, Real estate and Business services]])</f>
        <v>483</v>
      </c>
      <c r="L188" s="1">
        <v>43230</v>
      </c>
      <c r="M188" t="s">
        <v>24</v>
      </c>
    </row>
    <row r="189" spans="1:13" ht="26.4" customHeight="1" x14ac:dyDescent="0.3">
      <c r="A189" t="s">
        <v>7</v>
      </c>
      <c r="B189">
        <v>6</v>
      </c>
      <c r="C189">
        <v>54</v>
      </c>
      <c r="D189">
        <v>406</v>
      </c>
      <c r="E189">
        <v>3</v>
      </c>
      <c r="F189">
        <v>8</v>
      </c>
      <c r="G189">
        <v>3</v>
      </c>
      <c r="H189">
        <v>24</v>
      </c>
      <c r="I189">
        <v>5</v>
      </c>
      <c r="J189">
        <v>15</v>
      </c>
      <c r="K189">
        <f>SUM(Table1[[#This Row],[
Post and Telecommunications]:[Finance, Insurance, Real estate and Business services]])</f>
        <v>524</v>
      </c>
      <c r="L189" s="1">
        <v>43230</v>
      </c>
      <c r="M189" t="s">
        <v>24</v>
      </c>
    </row>
    <row r="190" spans="1:13" ht="26.4" customHeight="1" x14ac:dyDescent="0.3">
      <c r="A190" t="s">
        <v>6</v>
      </c>
      <c r="B190">
        <v>95</v>
      </c>
      <c r="C190">
        <v>466</v>
      </c>
      <c r="D190">
        <v>1301</v>
      </c>
      <c r="E190">
        <v>111</v>
      </c>
      <c r="F190">
        <v>75</v>
      </c>
      <c r="G190">
        <v>15</v>
      </c>
      <c r="H190">
        <v>745</v>
      </c>
      <c r="I190">
        <v>25</v>
      </c>
      <c r="J190">
        <v>181</v>
      </c>
      <c r="K190">
        <f>SUM(Table1[[#This Row],[
Post and Telecommunications]:[Finance, Insurance, Real estate and Business services]])</f>
        <v>3014</v>
      </c>
      <c r="L190" s="1">
        <v>42405</v>
      </c>
      <c r="M190" t="s">
        <v>2</v>
      </c>
    </row>
    <row r="191" spans="1:13" ht="26.4" customHeight="1" x14ac:dyDescent="0.3">
      <c r="A191" t="s">
        <v>6</v>
      </c>
      <c r="B191">
        <v>95</v>
      </c>
      <c r="C191">
        <v>451</v>
      </c>
      <c r="D191">
        <v>938</v>
      </c>
      <c r="E191">
        <v>70</v>
      </c>
      <c r="F191">
        <v>48</v>
      </c>
      <c r="G191">
        <v>15</v>
      </c>
      <c r="H191">
        <v>665</v>
      </c>
      <c r="I191">
        <v>28</v>
      </c>
      <c r="J191">
        <v>169</v>
      </c>
      <c r="K191">
        <f>SUM(Table1[[#This Row],[
Post and Telecommunications]:[Finance, Insurance, Real estate and Business services]])</f>
        <v>2479</v>
      </c>
      <c r="L191" s="1">
        <v>42487</v>
      </c>
      <c r="M191" t="s">
        <v>24</v>
      </c>
    </row>
    <row r="192" spans="1:13" ht="26.4" customHeight="1" x14ac:dyDescent="0.3">
      <c r="A192" t="s">
        <v>6</v>
      </c>
      <c r="B192">
        <v>75</v>
      </c>
      <c r="C192">
        <v>295</v>
      </c>
      <c r="D192">
        <v>690</v>
      </c>
      <c r="E192">
        <v>34</v>
      </c>
      <c r="F192">
        <v>60</v>
      </c>
      <c r="G192">
        <v>12</v>
      </c>
      <c r="H192">
        <v>513</v>
      </c>
      <c r="I192">
        <v>12</v>
      </c>
      <c r="J192">
        <v>122</v>
      </c>
      <c r="K192">
        <f>SUM(Table1[[#This Row],[
Post and Telecommunications]:[Finance, Insurance, Real estate and Business services]])</f>
        <v>1813</v>
      </c>
      <c r="L192" s="1">
        <v>42560</v>
      </c>
      <c r="M192" t="s">
        <v>25</v>
      </c>
    </row>
    <row r="193" spans="1:13" ht="26.4" customHeight="1" x14ac:dyDescent="0.3">
      <c r="A193" t="s">
        <v>6</v>
      </c>
      <c r="B193">
        <v>54</v>
      </c>
      <c r="C193">
        <v>312</v>
      </c>
      <c r="D193">
        <v>808</v>
      </c>
      <c r="E193">
        <v>45</v>
      </c>
      <c r="F193">
        <v>68</v>
      </c>
      <c r="G193">
        <v>10</v>
      </c>
      <c r="H193">
        <v>622</v>
      </c>
      <c r="I193">
        <v>29</v>
      </c>
      <c r="J193">
        <v>157</v>
      </c>
      <c r="K193">
        <f>SUM(Table1[[#This Row],[
Post and Telecommunications]:[Finance, Insurance, Real estate and Business services]])</f>
        <v>2105</v>
      </c>
      <c r="L193" s="1">
        <v>42626</v>
      </c>
      <c r="M193" t="s">
        <v>26</v>
      </c>
    </row>
    <row r="194" spans="1:13" ht="26.4" customHeight="1" x14ac:dyDescent="0.3">
      <c r="A194" t="s">
        <v>6</v>
      </c>
      <c r="B194">
        <v>61</v>
      </c>
      <c r="C194">
        <v>353</v>
      </c>
      <c r="D194">
        <v>939</v>
      </c>
      <c r="E194">
        <v>47</v>
      </c>
      <c r="F194">
        <v>75</v>
      </c>
      <c r="G194">
        <v>13</v>
      </c>
      <c r="H194">
        <v>608</v>
      </c>
      <c r="I194">
        <v>16</v>
      </c>
      <c r="J194">
        <v>130</v>
      </c>
      <c r="K194">
        <f>SUM(Table1[[#This Row],[
Post and Telecommunications]:[Finance, Insurance, Real estate and Business services]])</f>
        <v>2242</v>
      </c>
      <c r="L194" s="1">
        <v>42785</v>
      </c>
      <c r="M194" t="s">
        <v>2</v>
      </c>
    </row>
    <row r="195" spans="1:13" ht="26.4" customHeight="1" x14ac:dyDescent="0.3">
      <c r="A195" t="s">
        <v>6</v>
      </c>
      <c r="B195">
        <v>57</v>
      </c>
      <c r="C195">
        <v>222</v>
      </c>
      <c r="D195">
        <v>621</v>
      </c>
      <c r="E195">
        <v>27</v>
      </c>
      <c r="F195">
        <v>36</v>
      </c>
      <c r="G195">
        <v>7</v>
      </c>
      <c r="H195">
        <v>369</v>
      </c>
      <c r="I195">
        <v>20</v>
      </c>
      <c r="J195">
        <v>67</v>
      </c>
      <c r="K195">
        <f>SUM(Table1[[#This Row],[
Post and Telecommunications]:[Finance, Insurance, Real estate and Business services]])</f>
        <v>1426</v>
      </c>
      <c r="L195" s="1">
        <v>42924</v>
      </c>
      <c r="M195" t="s">
        <v>24</v>
      </c>
    </row>
    <row r="196" spans="1:13" ht="26.4" customHeight="1" x14ac:dyDescent="0.3">
      <c r="A196" t="s">
        <v>6</v>
      </c>
      <c r="B196">
        <v>66</v>
      </c>
      <c r="C196">
        <v>256</v>
      </c>
      <c r="D196">
        <v>669</v>
      </c>
      <c r="E196">
        <v>27</v>
      </c>
      <c r="F196">
        <v>41</v>
      </c>
      <c r="G196">
        <v>7</v>
      </c>
      <c r="H196">
        <v>447</v>
      </c>
      <c r="I196">
        <v>19</v>
      </c>
      <c r="J196">
        <v>105</v>
      </c>
      <c r="K196">
        <f>SUM(Table1[[#This Row],[
Post and Telecommunications]:[Finance, Insurance, Real estate and Business services]])</f>
        <v>1637</v>
      </c>
      <c r="L196" s="1">
        <v>42966</v>
      </c>
      <c r="M196" t="s">
        <v>25</v>
      </c>
    </row>
    <row r="197" spans="1:13" ht="26.4" customHeight="1" x14ac:dyDescent="0.3">
      <c r="A197" t="s">
        <v>6</v>
      </c>
      <c r="B197">
        <v>59</v>
      </c>
      <c r="C197">
        <v>306</v>
      </c>
      <c r="D197">
        <v>809</v>
      </c>
      <c r="E197">
        <v>57</v>
      </c>
      <c r="F197">
        <v>39</v>
      </c>
      <c r="G197">
        <v>10</v>
      </c>
      <c r="H197">
        <v>497</v>
      </c>
      <c r="I197">
        <v>17</v>
      </c>
      <c r="J197">
        <v>111</v>
      </c>
      <c r="K197">
        <f>SUM(Table1[[#This Row],[
Post and Telecommunications]:[Finance, Insurance, Real estate and Business services]])</f>
        <v>1905</v>
      </c>
      <c r="L197" s="1">
        <v>42966</v>
      </c>
      <c r="M197" t="s">
        <v>26</v>
      </c>
    </row>
    <row r="198" spans="1:13" ht="26.4" customHeight="1" x14ac:dyDescent="0.3">
      <c r="A198" t="s">
        <v>6</v>
      </c>
      <c r="B198">
        <v>70</v>
      </c>
      <c r="C198">
        <v>291</v>
      </c>
      <c r="D198">
        <v>763</v>
      </c>
      <c r="E198">
        <v>34</v>
      </c>
      <c r="F198">
        <v>56</v>
      </c>
      <c r="G198">
        <v>8</v>
      </c>
      <c r="H198">
        <v>463</v>
      </c>
      <c r="I198">
        <v>31</v>
      </c>
      <c r="J198">
        <v>121</v>
      </c>
      <c r="K198">
        <f>SUM(Table1[[#This Row],[
Post and Telecommunications]:[Finance, Insurance, Real estate and Business services]])</f>
        <v>1837</v>
      </c>
      <c r="L198" s="1">
        <v>43140</v>
      </c>
      <c r="M198" t="s">
        <v>2</v>
      </c>
    </row>
    <row r="199" spans="1:13" ht="26.4" customHeight="1" x14ac:dyDescent="0.3">
      <c r="A199" t="s">
        <v>6</v>
      </c>
      <c r="B199">
        <v>36</v>
      </c>
      <c r="C199">
        <v>268</v>
      </c>
      <c r="D199">
        <v>568</v>
      </c>
      <c r="E199">
        <v>30</v>
      </c>
      <c r="F199">
        <v>52</v>
      </c>
      <c r="G199">
        <v>10</v>
      </c>
      <c r="H199">
        <v>421</v>
      </c>
      <c r="I199">
        <v>22</v>
      </c>
      <c r="J199">
        <v>130</v>
      </c>
      <c r="K199">
        <f>SUM(Table1[[#This Row],[
Post and Telecommunications]:[Finance, Insurance, Real estate and Business services]])</f>
        <v>1537</v>
      </c>
      <c r="L199" s="1">
        <v>43229</v>
      </c>
      <c r="M199" t="s">
        <v>24</v>
      </c>
    </row>
    <row r="200" spans="1:13" ht="26.4" customHeight="1" x14ac:dyDescent="0.3">
      <c r="A200" t="s">
        <v>6</v>
      </c>
      <c r="B200">
        <v>59</v>
      </c>
      <c r="C200">
        <v>270</v>
      </c>
      <c r="D200">
        <v>560</v>
      </c>
      <c r="E200">
        <v>24</v>
      </c>
      <c r="F200">
        <v>61</v>
      </c>
      <c r="G200">
        <v>7</v>
      </c>
      <c r="H200">
        <v>390</v>
      </c>
      <c r="I200">
        <v>16</v>
      </c>
      <c r="J200">
        <v>123</v>
      </c>
      <c r="K200">
        <f>SUM(Table1[[#This Row],[
Post and Telecommunications]:[Finance, Insurance, Real estate and Business services]])</f>
        <v>1510</v>
      </c>
      <c r="L200" s="1">
        <v>43229</v>
      </c>
      <c r="M200" t="s">
        <v>24</v>
      </c>
    </row>
    <row r="201" spans="1:13" ht="26.4" customHeight="1" x14ac:dyDescent="0.3">
      <c r="A201" t="s">
        <v>6</v>
      </c>
      <c r="B201">
        <v>48</v>
      </c>
      <c r="C201">
        <v>211</v>
      </c>
      <c r="D201">
        <v>446</v>
      </c>
      <c r="E201">
        <v>24</v>
      </c>
      <c r="F201">
        <v>58</v>
      </c>
      <c r="G201">
        <v>5</v>
      </c>
      <c r="H201">
        <v>320</v>
      </c>
      <c r="I201">
        <v>14</v>
      </c>
      <c r="J201">
        <v>106</v>
      </c>
      <c r="K201">
        <f>SUM(Table1[[#This Row],[
Post and Telecommunications]:[Finance, Insurance, Real estate and Business services]])</f>
        <v>1232</v>
      </c>
      <c r="L201" s="1">
        <v>43229</v>
      </c>
      <c r="M201" t="s">
        <v>24</v>
      </c>
    </row>
    <row r="202" spans="1:13" ht="26.4" customHeight="1" x14ac:dyDescent="0.3">
      <c r="A202" t="s">
        <v>21</v>
      </c>
      <c r="B202">
        <v>5</v>
      </c>
      <c r="C202">
        <v>10</v>
      </c>
      <c r="D202">
        <v>84</v>
      </c>
      <c r="E202">
        <v>0</v>
      </c>
      <c r="F202">
        <v>2</v>
      </c>
      <c r="G202">
        <v>2</v>
      </c>
      <c r="H202">
        <v>4</v>
      </c>
      <c r="I202">
        <v>2</v>
      </c>
      <c r="J202">
        <v>5</v>
      </c>
      <c r="K202">
        <f>SUM(Table1[[#This Row],[
Post and Telecommunications]:[Finance, Insurance, Real estate and Business services]])</f>
        <v>114</v>
      </c>
      <c r="L202" s="1">
        <v>42420</v>
      </c>
      <c r="M202" t="s">
        <v>2</v>
      </c>
    </row>
    <row r="203" spans="1:13" ht="26.4" customHeight="1" x14ac:dyDescent="0.3">
      <c r="A203" t="s">
        <v>21</v>
      </c>
      <c r="B203">
        <v>0</v>
      </c>
      <c r="C203">
        <v>6</v>
      </c>
      <c r="D203">
        <v>50</v>
      </c>
      <c r="E203">
        <v>0</v>
      </c>
      <c r="F203">
        <v>2</v>
      </c>
      <c r="G203">
        <v>2</v>
      </c>
      <c r="H203">
        <v>2</v>
      </c>
      <c r="I203">
        <v>0</v>
      </c>
      <c r="J203">
        <v>6</v>
      </c>
      <c r="K203">
        <f>SUM(Table1[[#This Row],[
Post and Telecommunications]:[Finance, Insurance, Real estate and Business services]])</f>
        <v>68</v>
      </c>
      <c r="L203" s="1">
        <v>42502</v>
      </c>
      <c r="M203" t="s">
        <v>24</v>
      </c>
    </row>
    <row r="204" spans="1:13" ht="26.4" customHeight="1" x14ac:dyDescent="0.3">
      <c r="A204" t="s">
        <v>21</v>
      </c>
      <c r="B204">
        <v>1</v>
      </c>
      <c r="C204">
        <v>3</v>
      </c>
      <c r="D204">
        <v>42</v>
      </c>
      <c r="E204">
        <v>0</v>
      </c>
      <c r="F204">
        <v>0</v>
      </c>
      <c r="G204">
        <v>2</v>
      </c>
      <c r="H204">
        <v>7</v>
      </c>
      <c r="I204">
        <v>0</v>
      </c>
      <c r="J204">
        <v>4</v>
      </c>
      <c r="K204">
        <f>SUM(Table1[[#This Row],[
Post and Telecommunications]:[Finance, Insurance, Real estate and Business services]])</f>
        <v>59</v>
      </c>
      <c r="L204" s="1">
        <v>42575</v>
      </c>
      <c r="M204" t="s">
        <v>25</v>
      </c>
    </row>
    <row r="205" spans="1:13" ht="26.4" customHeight="1" x14ac:dyDescent="0.3">
      <c r="A205" t="s">
        <v>21</v>
      </c>
      <c r="B205">
        <v>1</v>
      </c>
      <c r="C205">
        <v>4</v>
      </c>
      <c r="D205">
        <v>36</v>
      </c>
      <c r="E205">
        <v>1</v>
      </c>
      <c r="F205">
        <v>1</v>
      </c>
      <c r="G205">
        <v>0</v>
      </c>
      <c r="H205">
        <v>5</v>
      </c>
      <c r="I205">
        <v>0</v>
      </c>
      <c r="J205">
        <v>1</v>
      </c>
      <c r="K205">
        <f>SUM(Table1[[#This Row],[
Post and Telecommunications]:[Finance, Insurance, Real estate and Business services]])</f>
        <v>49</v>
      </c>
      <c r="L205" s="1">
        <v>42641</v>
      </c>
      <c r="M205" t="s">
        <v>26</v>
      </c>
    </row>
    <row r="206" spans="1:13" ht="26.4" customHeight="1" x14ac:dyDescent="0.3">
      <c r="A206" t="s">
        <v>21</v>
      </c>
      <c r="B206">
        <v>2</v>
      </c>
      <c r="C206">
        <v>3</v>
      </c>
      <c r="D206">
        <v>33</v>
      </c>
      <c r="E206">
        <v>2</v>
      </c>
      <c r="G206">
        <v>1</v>
      </c>
      <c r="H206">
        <v>2</v>
      </c>
      <c r="J206">
        <v>1</v>
      </c>
      <c r="K206">
        <f>SUM(Table1[[#This Row],[
Post and Telecommunications]:[Finance, Insurance, Real estate and Business services]])</f>
        <v>44</v>
      </c>
      <c r="L206" s="1">
        <v>42800</v>
      </c>
      <c r="M206" t="s">
        <v>2</v>
      </c>
    </row>
    <row r="207" spans="1:13" ht="26.4" customHeight="1" x14ac:dyDescent="0.3">
      <c r="A207" t="s">
        <v>21</v>
      </c>
      <c r="B207">
        <v>0</v>
      </c>
      <c r="C207">
        <v>6</v>
      </c>
      <c r="D207">
        <v>14</v>
      </c>
      <c r="E207">
        <v>1</v>
      </c>
      <c r="F207">
        <v>0</v>
      </c>
      <c r="G207">
        <v>0</v>
      </c>
      <c r="H207">
        <v>2</v>
      </c>
      <c r="I207">
        <v>0</v>
      </c>
      <c r="J207">
        <v>4</v>
      </c>
      <c r="K207">
        <f>SUM(Table1[[#This Row],[
Post and Telecommunications]:[Finance, Insurance, Real estate and Business services]])</f>
        <v>27</v>
      </c>
      <c r="L207" s="1">
        <v>42924</v>
      </c>
      <c r="M207" t="s">
        <v>24</v>
      </c>
    </row>
    <row r="208" spans="1:13" ht="26.4" customHeight="1" x14ac:dyDescent="0.3">
      <c r="A208" t="s">
        <v>21</v>
      </c>
      <c r="B208">
        <v>1</v>
      </c>
      <c r="C208">
        <v>1</v>
      </c>
      <c r="D208">
        <v>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f>SUM(Table1[[#This Row],[
Post and Telecommunications]:[Finance, Insurance, Real estate and Business services]])</f>
        <v>12</v>
      </c>
      <c r="L208" s="1">
        <v>42980</v>
      </c>
      <c r="M208" t="s">
        <v>25</v>
      </c>
    </row>
    <row r="209" spans="1:13" ht="26.4" customHeight="1" x14ac:dyDescent="0.3">
      <c r="A209" t="s">
        <v>21</v>
      </c>
      <c r="B209">
        <v>1</v>
      </c>
      <c r="C209">
        <v>3</v>
      </c>
      <c r="D209">
        <v>17</v>
      </c>
      <c r="E209">
        <v>0</v>
      </c>
      <c r="F209">
        <v>2</v>
      </c>
      <c r="G209">
        <v>0</v>
      </c>
      <c r="H209">
        <v>1</v>
      </c>
      <c r="I209">
        <v>0</v>
      </c>
      <c r="J209">
        <v>2</v>
      </c>
      <c r="K209">
        <f>SUM(Table1[[#This Row],[
Post and Telecommunications]:[Finance, Insurance, Real estate and Business services]])</f>
        <v>26</v>
      </c>
      <c r="L209" s="1">
        <v>42981</v>
      </c>
      <c r="M209" t="s">
        <v>26</v>
      </c>
    </row>
    <row r="210" spans="1:13" ht="26.4" customHeight="1" x14ac:dyDescent="0.3">
      <c r="A210" t="s">
        <v>21</v>
      </c>
      <c r="B210">
        <v>0</v>
      </c>
      <c r="C210">
        <v>6</v>
      </c>
      <c r="D210">
        <v>20</v>
      </c>
      <c r="E210">
        <v>1</v>
      </c>
      <c r="F210">
        <v>1</v>
      </c>
      <c r="G210">
        <v>0</v>
      </c>
      <c r="H210">
        <v>4</v>
      </c>
      <c r="I210">
        <v>1</v>
      </c>
      <c r="J210">
        <v>3</v>
      </c>
      <c r="K210">
        <f>SUM(Table1[[#This Row],[
Post and Telecommunications]:[Finance, Insurance, Real estate and Business services]])</f>
        <v>36</v>
      </c>
      <c r="L210" s="1">
        <v>43155</v>
      </c>
      <c r="M210" t="s">
        <v>2</v>
      </c>
    </row>
    <row r="211" spans="1:13" ht="26.4" customHeight="1" x14ac:dyDescent="0.3">
      <c r="A211" t="s">
        <v>21</v>
      </c>
      <c r="B211">
        <v>0</v>
      </c>
      <c r="C211">
        <v>3</v>
      </c>
      <c r="D211">
        <v>10</v>
      </c>
      <c r="E211">
        <v>1</v>
      </c>
      <c r="F211">
        <v>2</v>
      </c>
      <c r="G211">
        <v>0</v>
      </c>
      <c r="H211">
        <v>2</v>
      </c>
      <c r="I211">
        <v>0</v>
      </c>
      <c r="J211">
        <v>6</v>
      </c>
      <c r="K211">
        <f>SUM(Table1[[#This Row],[
Post and Telecommunications]:[Finance, Insurance, Real estate and Business services]])</f>
        <v>24</v>
      </c>
      <c r="L211" s="1">
        <v>43244</v>
      </c>
      <c r="M211" t="s">
        <v>24</v>
      </c>
    </row>
    <row r="212" spans="1:13" ht="26.4" customHeight="1" x14ac:dyDescent="0.3">
      <c r="A212" t="s">
        <v>21</v>
      </c>
      <c r="B212">
        <v>1</v>
      </c>
      <c r="C212">
        <v>1</v>
      </c>
      <c r="D212">
        <v>26</v>
      </c>
      <c r="E212">
        <v>1</v>
      </c>
      <c r="F212">
        <v>2</v>
      </c>
      <c r="G212">
        <v>0</v>
      </c>
      <c r="H212">
        <v>3</v>
      </c>
      <c r="I212">
        <v>0</v>
      </c>
      <c r="J212">
        <v>2</v>
      </c>
      <c r="K212">
        <f>SUM(Table1[[#This Row],[
Post and Telecommunications]:[Finance, Insurance, Real estate and Business services]])</f>
        <v>36</v>
      </c>
      <c r="L212" s="1">
        <v>43244</v>
      </c>
      <c r="M212" t="s">
        <v>24</v>
      </c>
    </row>
    <row r="213" spans="1:13" ht="26.4" customHeight="1" x14ac:dyDescent="0.3">
      <c r="A213" t="s">
        <v>21</v>
      </c>
      <c r="B213">
        <v>0</v>
      </c>
      <c r="C213">
        <v>3</v>
      </c>
      <c r="D213">
        <v>13</v>
      </c>
      <c r="E213">
        <v>0</v>
      </c>
      <c r="F213">
        <v>2</v>
      </c>
      <c r="G213">
        <v>0</v>
      </c>
      <c r="H213">
        <v>8</v>
      </c>
      <c r="I213">
        <v>0</v>
      </c>
      <c r="J213">
        <v>1</v>
      </c>
      <c r="K213">
        <f>SUM(Table1[[#This Row],[
Post and Telecommunications]:[Finance, Insurance, Real estate and Business services]])</f>
        <v>27</v>
      </c>
      <c r="L213" s="1">
        <v>43244</v>
      </c>
      <c r="M213" t="s">
        <v>24</v>
      </c>
    </row>
    <row r="214" spans="1:13" ht="26.4" customHeight="1" x14ac:dyDescent="0.3">
      <c r="A214" t="s">
        <v>17</v>
      </c>
      <c r="B214">
        <v>0</v>
      </c>
      <c r="C214">
        <v>1</v>
      </c>
      <c r="D214">
        <v>8</v>
      </c>
      <c r="E214">
        <v>0</v>
      </c>
      <c r="F214">
        <v>0</v>
      </c>
      <c r="G214">
        <v>0</v>
      </c>
      <c r="H214">
        <v>2</v>
      </c>
      <c r="I214">
        <v>0</v>
      </c>
      <c r="J214">
        <v>1</v>
      </c>
      <c r="K214">
        <f>SUM(Table1[[#This Row],[
Post and Telecommunications]:[Finance, Insurance, Real estate and Business services]])</f>
        <v>12</v>
      </c>
      <c r="L214" s="1">
        <v>42416</v>
      </c>
      <c r="M214" t="s">
        <v>2</v>
      </c>
    </row>
    <row r="215" spans="1:13" ht="26.4" customHeight="1" x14ac:dyDescent="0.3">
      <c r="A215" t="s">
        <v>17</v>
      </c>
      <c r="B215">
        <v>1</v>
      </c>
      <c r="C215">
        <v>0</v>
      </c>
      <c r="D215">
        <v>7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f>SUM(Table1[[#This Row],[
Post and Telecommunications]:[Finance, Insurance, Real estate and Business services]])</f>
        <v>9</v>
      </c>
      <c r="L215" s="1">
        <v>42498</v>
      </c>
      <c r="M215" t="s">
        <v>24</v>
      </c>
    </row>
    <row r="216" spans="1:13" ht="26.4" customHeight="1" x14ac:dyDescent="0.3">
      <c r="A216" t="s">
        <v>17</v>
      </c>
      <c r="B216">
        <v>0</v>
      </c>
      <c r="C216">
        <v>1</v>
      </c>
      <c r="D216">
        <v>7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f>SUM(Table1[[#This Row],[
Post and Telecommunications]:[Finance, Insurance, Real estate and Business services]])</f>
        <v>10</v>
      </c>
      <c r="L216" s="1">
        <v>42571</v>
      </c>
      <c r="M216" t="s">
        <v>25</v>
      </c>
    </row>
    <row r="217" spans="1:13" ht="26.4" customHeight="1" x14ac:dyDescent="0.3">
      <c r="A217" t="s">
        <v>17</v>
      </c>
      <c r="B217">
        <v>0</v>
      </c>
      <c r="C217">
        <v>2</v>
      </c>
      <c r="D217">
        <v>5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f>SUM(Table1[[#This Row],[
Post and Telecommunications]:[Finance, Insurance, Real estate and Business services]])</f>
        <v>9</v>
      </c>
      <c r="L217" s="1">
        <v>42637</v>
      </c>
      <c r="M217" t="s">
        <v>26</v>
      </c>
    </row>
    <row r="218" spans="1:13" ht="26.4" customHeight="1" x14ac:dyDescent="0.3">
      <c r="A218" t="s">
        <v>17</v>
      </c>
      <c r="C218">
        <v>2</v>
      </c>
      <c r="D218">
        <v>8</v>
      </c>
      <c r="F218">
        <v>1</v>
      </c>
      <c r="H218">
        <v>0</v>
      </c>
      <c r="K218">
        <f>SUM(Table1[[#This Row],[
Post and Telecommunications]:[Finance, Insurance, Real estate and Business services]])</f>
        <v>11</v>
      </c>
      <c r="L218" s="1">
        <v>42796</v>
      </c>
      <c r="M218" t="s">
        <v>2</v>
      </c>
    </row>
    <row r="219" spans="1:13" ht="26.4" customHeight="1" x14ac:dyDescent="0.3">
      <c r="A219" t="s">
        <v>17</v>
      </c>
      <c r="B219">
        <v>0</v>
      </c>
      <c r="C219">
        <v>0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f>SUM(Table1[[#This Row],[
Post and Telecommunications]:[Finance, Insurance, Real estate and Business services]])</f>
        <v>4</v>
      </c>
      <c r="L219" s="1">
        <v>42924</v>
      </c>
      <c r="M219" t="s">
        <v>24</v>
      </c>
    </row>
    <row r="220" spans="1:13" ht="26.4" customHeight="1" x14ac:dyDescent="0.3">
      <c r="A220" t="s">
        <v>17</v>
      </c>
      <c r="B220">
        <v>0</v>
      </c>
      <c r="C220">
        <v>0</v>
      </c>
      <c r="D220">
        <v>3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f>SUM(Table1[[#This Row],[
Post and Telecommunications]:[Finance, Insurance, Real estate and Business services]])</f>
        <v>4</v>
      </c>
      <c r="L220" s="1">
        <v>42977</v>
      </c>
      <c r="M220" t="s">
        <v>26</v>
      </c>
    </row>
    <row r="221" spans="1:13" ht="26.4" customHeight="1" x14ac:dyDescent="0.3">
      <c r="A221" t="s">
        <v>17</v>
      </c>
      <c r="B221">
        <v>0</v>
      </c>
      <c r="C221">
        <v>1</v>
      </c>
      <c r="D221">
        <v>5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f>SUM(Table1[[#This Row],[
Post and Telecommunications]:[Finance, Insurance, Real estate and Business services]])</f>
        <v>8</v>
      </c>
      <c r="L221" s="1">
        <v>43151</v>
      </c>
      <c r="M221" t="s">
        <v>2</v>
      </c>
    </row>
    <row r="222" spans="1:13" ht="26.4" customHeight="1" x14ac:dyDescent="0.3">
      <c r="A222" t="s">
        <v>17</v>
      </c>
      <c r="B222">
        <v>0</v>
      </c>
      <c r="C222">
        <v>3</v>
      </c>
      <c r="D222">
        <v>2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0</v>
      </c>
      <c r="K222">
        <f>SUM(Table1[[#This Row],[
Post and Telecommunications]:[Finance, Insurance, Real estate and Business services]])</f>
        <v>7</v>
      </c>
      <c r="L222" s="1">
        <v>43240</v>
      </c>
      <c r="M222" t="s">
        <v>24</v>
      </c>
    </row>
    <row r="223" spans="1:13" ht="26.4" customHeight="1" x14ac:dyDescent="0.3">
      <c r="A223" t="s">
        <v>17</v>
      </c>
      <c r="B223">
        <v>1</v>
      </c>
      <c r="C223">
        <v>0</v>
      </c>
      <c r="D223">
        <v>4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f>SUM(Table1[[#This Row],[
Post and Telecommunications]:[Finance, Insurance, Real estate and Business services]])</f>
        <v>6</v>
      </c>
      <c r="L223" s="1">
        <v>43240</v>
      </c>
      <c r="M223" t="s">
        <v>24</v>
      </c>
    </row>
    <row r="224" spans="1:13" ht="26.4" customHeight="1" x14ac:dyDescent="0.3">
      <c r="A224" t="s">
        <v>17</v>
      </c>
      <c r="B224">
        <v>0</v>
      </c>
      <c r="C224">
        <v>1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f>SUM(Table1[[#This Row],[
Post and Telecommunications]:[Finance, Insurance, Real estate and Business services]])</f>
        <v>7</v>
      </c>
      <c r="L224" s="1">
        <v>43240</v>
      </c>
      <c r="M224" t="s">
        <v>24</v>
      </c>
    </row>
    <row r="225" spans="1:13" ht="26.4" customHeight="1" x14ac:dyDescent="0.3">
      <c r="A225" t="s">
        <v>1</v>
      </c>
      <c r="B225">
        <v>57</v>
      </c>
      <c r="C225">
        <v>572</v>
      </c>
      <c r="D225">
        <v>1470</v>
      </c>
      <c r="E225">
        <v>21</v>
      </c>
      <c r="F225">
        <v>83</v>
      </c>
      <c r="G225">
        <v>23</v>
      </c>
      <c r="H225">
        <v>478</v>
      </c>
      <c r="I225">
        <v>61</v>
      </c>
      <c r="J225">
        <v>372</v>
      </c>
      <c r="K225">
        <f>SUM(Table1[[#This Row],[
Post and Telecommunications]:[Finance, Insurance, Real estate and Business services]])</f>
        <v>3137</v>
      </c>
      <c r="L225" s="1">
        <v>42401</v>
      </c>
      <c r="M225" t="s">
        <v>2</v>
      </c>
    </row>
    <row r="226" spans="1:13" ht="26.4" customHeight="1" x14ac:dyDescent="0.3">
      <c r="A226" t="s">
        <v>1</v>
      </c>
      <c r="B226">
        <v>59</v>
      </c>
      <c r="C226">
        <v>511</v>
      </c>
      <c r="D226">
        <v>1268</v>
      </c>
      <c r="E226">
        <v>13</v>
      </c>
      <c r="F226">
        <v>66</v>
      </c>
      <c r="G226">
        <v>21</v>
      </c>
      <c r="H226">
        <v>498</v>
      </c>
      <c r="I226">
        <v>55</v>
      </c>
      <c r="J226">
        <v>324</v>
      </c>
      <c r="K226">
        <f>SUM(Table1[[#This Row],[
Post and Telecommunications]:[Finance, Insurance, Real estate and Business services]])</f>
        <v>2815</v>
      </c>
      <c r="L226" s="1">
        <v>42483</v>
      </c>
      <c r="M226" t="s">
        <v>24</v>
      </c>
    </row>
    <row r="227" spans="1:13" ht="26.4" customHeight="1" x14ac:dyDescent="0.3">
      <c r="A227" t="s">
        <v>1</v>
      </c>
      <c r="B227">
        <v>48</v>
      </c>
      <c r="C227">
        <v>375</v>
      </c>
      <c r="D227">
        <v>944</v>
      </c>
      <c r="E227">
        <v>13</v>
      </c>
      <c r="F227">
        <v>76</v>
      </c>
      <c r="G227">
        <v>15</v>
      </c>
      <c r="H227">
        <v>454</v>
      </c>
      <c r="I227">
        <v>53</v>
      </c>
      <c r="J227">
        <v>225</v>
      </c>
      <c r="K227">
        <f>SUM(Table1[[#This Row],[
Post and Telecommunications]:[Finance, Insurance, Real estate and Business services]])</f>
        <v>2203</v>
      </c>
      <c r="L227" s="1">
        <v>42556</v>
      </c>
      <c r="M227" t="s">
        <v>25</v>
      </c>
    </row>
    <row r="228" spans="1:13" ht="26.4" customHeight="1" x14ac:dyDescent="0.3">
      <c r="A228" t="s">
        <v>1</v>
      </c>
      <c r="B228">
        <v>78</v>
      </c>
      <c r="C228">
        <v>457</v>
      </c>
      <c r="D228">
        <v>1098</v>
      </c>
      <c r="E228">
        <v>27</v>
      </c>
      <c r="F228">
        <v>70</v>
      </c>
      <c r="G228">
        <v>38</v>
      </c>
      <c r="H228">
        <v>458</v>
      </c>
      <c r="I228">
        <v>44</v>
      </c>
      <c r="J228">
        <v>278</v>
      </c>
      <c r="K228">
        <f>SUM(Table1[[#This Row],[
Post and Telecommunications]:[Finance, Insurance, Real estate and Business services]])</f>
        <v>2548</v>
      </c>
      <c r="L228" s="1">
        <v>42622</v>
      </c>
      <c r="M228" t="s">
        <v>26</v>
      </c>
    </row>
    <row r="229" spans="1:13" ht="26.4" customHeight="1" x14ac:dyDescent="0.3">
      <c r="A229" t="s">
        <v>1</v>
      </c>
      <c r="B229">
        <v>60</v>
      </c>
      <c r="C229">
        <v>480</v>
      </c>
      <c r="D229">
        <v>1007</v>
      </c>
      <c r="E229">
        <v>21</v>
      </c>
      <c r="F229">
        <v>74</v>
      </c>
      <c r="G229">
        <v>18</v>
      </c>
      <c r="H229">
        <v>470</v>
      </c>
      <c r="I229">
        <v>53</v>
      </c>
      <c r="J229">
        <v>236</v>
      </c>
      <c r="K229">
        <f>SUM(Table1[[#This Row],[
Post and Telecommunications]:[Finance, Insurance, Real estate and Business services]])</f>
        <v>2419</v>
      </c>
      <c r="L229" s="1">
        <v>42781</v>
      </c>
      <c r="M229" t="s">
        <v>2</v>
      </c>
    </row>
    <row r="230" spans="1:13" ht="26.4" customHeight="1" x14ac:dyDescent="0.3">
      <c r="A230" t="s">
        <v>1</v>
      </c>
      <c r="B230">
        <v>43</v>
      </c>
      <c r="C230">
        <v>305</v>
      </c>
      <c r="D230">
        <v>665</v>
      </c>
      <c r="E230">
        <v>8</v>
      </c>
      <c r="F230">
        <v>51</v>
      </c>
      <c r="G230">
        <v>14</v>
      </c>
      <c r="H230">
        <v>342</v>
      </c>
      <c r="I230">
        <v>34</v>
      </c>
      <c r="J230">
        <v>147</v>
      </c>
      <c r="K230">
        <f>SUM(Table1[[#This Row],[
Post and Telecommunications]:[Finance, Insurance, Real estate and Business services]])</f>
        <v>1609</v>
      </c>
      <c r="L230" s="1">
        <v>42924</v>
      </c>
      <c r="M230" t="s">
        <v>24</v>
      </c>
    </row>
    <row r="231" spans="1:13" ht="26.4" customHeight="1" x14ac:dyDescent="0.3">
      <c r="A231" t="s">
        <v>1</v>
      </c>
      <c r="B231">
        <v>40</v>
      </c>
      <c r="C231">
        <v>282</v>
      </c>
      <c r="D231">
        <v>692</v>
      </c>
      <c r="E231">
        <v>10</v>
      </c>
      <c r="F231">
        <v>51</v>
      </c>
      <c r="G231">
        <v>13</v>
      </c>
      <c r="H231">
        <v>295</v>
      </c>
      <c r="I231">
        <v>26</v>
      </c>
      <c r="J231">
        <v>158</v>
      </c>
      <c r="K231">
        <f>SUM(Table1[[#This Row],[
Post and Telecommunications]:[Finance, Insurance, Real estate and Business services]])</f>
        <v>1567</v>
      </c>
      <c r="L231" s="1">
        <v>42962</v>
      </c>
      <c r="M231" t="s">
        <v>25</v>
      </c>
    </row>
    <row r="232" spans="1:13" ht="26.4" customHeight="1" x14ac:dyDescent="0.3">
      <c r="A232" t="s">
        <v>1</v>
      </c>
      <c r="B232">
        <v>71</v>
      </c>
      <c r="C232">
        <v>382</v>
      </c>
      <c r="D232">
        <v>838</v>
      </c>
      <c r="E232">
        <v>14</v>
      </c>
      <c r="F232">
        <v>86</v>
      </c>
      <c r="G232">
        <v>18</v>
      </c>
      <c r="H232">
        <v>408</v>
      </c>
      <c r="I232">
        <v>32</v>
      </c>
      <c r="J232">
        <v>211</v>
      </c>
      <c r="K232">
        <f>SUM(Table1[[#This Row],[
Post and Telecommunications]:[Finance, Insurance, Real estate and Business services]])</f>
        <v>2060</v>
      </c>
      <c r="L232" s="1">
        <v>42962</v>
      </c>
      <c r="M232" t="s">
        <v>26</v>
      </c>
    </row>
    <row r="233" spans="1:13" ht="26.4" customHeight="1" x14ac:dyDescent="0.3">
      <c r="A233" t="s">
        <v>1</v>
      </c>
      <c r="B233">
        <v>64</v>
      </c>
      <c r="C233">
        <v>383</v>
      </c>
      <c r="D233">
        <v>786</v>
      </c>
      <c r="E233">
        <v>9</v>
      </c>
      <c r="F233">
        <v>105</v>
      </c>
      <c r="G233">
        <v>15</v>
      </c>
      <c r="H233">
        <v>402</v>
      </c>
      <c r="I233">
        <v>30</v>
      </c>
      <c r="J233">
        <v>209</v>
      </c>
      <c r="K233">
        <f>SUM(Table1[[#This Row],[
Post and Telecommunications]:[Finance, Insurance, Real estate and Business services]])</f>
        <v>2003</v>
      </c>
      <c r="L233" s="1">
        <v>43136</v>
      </c>
      <c r="M233" t="s">
        <v>2</v>
      </c>
    </row>
    <row r="234" spans="1:13" ht="26.4" customHeight="1" x14ac:dyDescent="0.3">
      <c r="A234" t="s">
        <v>1</v>
      </c>
      <c r="B234">
        <v>31</v>
      </c>
      <c r="C234">
        <v>354</v>
      </c>
      <c r="D234">
        <v>617</v>
      </c>
      <c r="E234">
        <v>7</v>
      </c>
      <c r="F234">
        <v>59</v>
      </c>
      <c r="G234">
        <v>14</v>
      </c>
      <c r="H234">
        <v>308</v>
      </c>
      <c r="I234">
        <v>30</v>
      </c>
      <c r="J234">
        <v>170</v>
      </c>
      <c r="K234">
        <f>SUM(Table1[[#This Row],[
Post and Telecommunications]:[Finance, Insurance, Real estate and Business services]])</f>
        <v>1590</v>
      </c>
      <c r="L234" s="1">
        <v>43225</v>
      </c>
      <c r="M234" t="s">
        <v>24</v>
      </c>
    </row>
    <row r="235" spans="1:13" ht="26.4" customHeight="1" x14ac:dyDescent="0.3">
      <c r="A235" t="s">
        <v>1</v>
      </c>
      <c r="B235">
        <v>41</v>
      </c>
      <c r="C235">
        <v>331</v>
      </c>
      <c r="D235">
        <v>708</v>
      </c>
      <c r="E235">
        <v>5</v>
      </c>
      <c r="F235">
        <v>59</v>
      </c>
      <c r="G235">
        <v>9</v>
      </c>
      <c r="H235">
        <v>316</v>
      </c>
      <c r="I235">
        <v>28</v>
      </c>
      <c r="J235">
        <v>168</v>
      </c>
      <c r="K235">
        <f>SUM(Table1[[#This Row],[
Post and Telecommunications]:[Finance, Insurance, Real estate and Business services]])</f>
        <v>1665</v>
      </c>
      <c r="L235" s="1">
        <v>43225</v>
      </c>
      <c r="M235" t="s">
        <v>24</v>
      </c>
    </row>
    <row r="236" spans="1:13" ht="26.4" customHeight="1" x14ac:dyDescent="0.3">
      <c r="A236" t="s">
        <v>1</v>
      </c>
      <c r="B236">
        <v>50</v>
      </c>
      <c r="C236">
        <v>304</v>
      </c>
      <c r="D236">
        <v>634</v>
      </c>
      <c r="E236">
        <v>8</v>
      </c>
      <c r="F236">
        <v>64</v>
      </c>
      <c r="G236">
        <v>17</v>
      </c>
      <c r="H236">
        <v>298</v>
      </c>
      <c r="I236">
        <v>36</v>
      </c>
      <c r="J236">
        <v>155</v>
      </c>
      <c r="K236">
        <f>SUM(Table1[[#This Row],[
Post and Telecommunications]:[Finance, Insurance, Real estate and Business services]])</f>
        <v>1566</v>
      </c>
      <c r="L236" s="1">
        <v>43225</v>
      </c>
      <c r="M236" t="s">
        <v>24</v>
      </c>
    </row>
    <row r="237" spans="1:13" ht="26.4" customHeight="1" x14ac:dyDescent="0.3">
      <c r="A237" t="s">
        <v>9</v>
      </c>
      <c r="B237">
        <v>3</v>
      </c>
      <c r="C237">
        <v>12</v>
      </c>
      <c r="D237">
        <v>63</v>
      </c>
      <c r="E237">
        <v>0</v>
      </c>
      <c r="F237">
        <v>8</v>
      </c>
      <c r="G237">
        <v>10</v>
      </c>
      <c r="H237">
        <v>18</v>
      </c>
      <c r="I237">
        <v>1</v>
      </c>
      <c r="J237">
        <v>16</v>
      </c>
      <c r="K237">
        <f>SUM(Table1[[#This Row],[
Post and Telecommunications]:[Finance, Insurance, Real estate and Business services]])</f>
        <v>131</v>
      </c>
      <c r="L237" s="1">
        <v>42408</v>
      </c>
      <c r="M237" t="s">
        <v>2</v>
      </c>
    </row>
    <row r="238" spans="1:13" ht="26.4" customHeight="1" x14ac:dyDescent="0.3">
      <c r="A238" t="s">
        <v>9</v>
      </c>
      <c r="B238">
        <v>1</v>
      </c>
      <c r="C238">
        <v>16</v>
      </c>
      <c r="D238">
        <v>52</v>
      </c>
      <c r="E238">
        <v>0</v>
      </c>
      <c r="F238">
        <v>8</v>
      </c>
      <c r="G238">
        <v>4</v>
      </c>
      <c r="H238">
        <v>7</v>
      </c>
      <c r="I238">
        <v>1</v>
      </c>
      <c r="J238">
        <v>3</v>
      </c>
      <c r="K238">
        <f>SUM(Table1[[#This Row],[
Post and Telecommunications]:[Finance, Insurance, Real estate and Business services]])</f>
        <v>92</v>
      </c>
      <c r="L238" s="1">
        <v>42490</v>
      </c>
      <c r="M238" t="s">
        <v>24</v>
      </c>
    </row>
    <row r="239" spans="1:13" ht="26.4" customHeight="1" x14ac:dyDescent="0.3">
      <c r="A239" t="s">
        <v>9</v>
      </c>
      <c r="B239">
        <v>3</v>
      </c>
      <c r="C239">
        <v>15</v>
      </c>
      <c r="D239">
        <v>41</v>
      </c>
      <c r="E239">
        <v>0</v>
      </c>
      <c r="F239">
        <v>5</v>
      </c>
      <c r="G239">
        <v>4</v>
      </c>
      <c r="H239">
        <v>6</v>
      </c>
      <c r="I239">
        <v>2</v>
      </c>
      <c r="J239">
        <v>2</v>
      </c>
      <c r="K239">
        <f>SUM(Table1[[#This Row],[
Post and Telecommunications]:[Finance, Insurance, Real estate and Business services]])</f>
        <v>78</v>
      </c>
      <c r="L239" s="1">
        <v>42563</v>
      </c>
      <c r="M239" t="s">
        <v>25</v>
      </c>
    </row>
    <row r="240" spans="1:13" ht="26.4" customHeight="1" x14ac:dyDescent="0.3">
      <c r="A240" t="s">
        <v>9</v>
      </c>
      <c r="B240">
        <v>1</v>
      </c>
      <c r="C240">
        <v>22</v>
      </c>
      <c r="D240">
        <v>45</v>
      </c>
      <c r="E240">
        <v>0</v>
      </c>
      <c r="F240">
        <v>6</v>
      </c>
      <c r="G240">
        <v>9</v>
      </c>
      <c r="H240">
        <v>7</v>
      </c>
      <c r="I240">
        <v>6</v>
      </c>
      <c r="J240">
        <v>6</v>
      </c>
      <c r="K240">
        <f>SUM(Table1[[#This Row],[
Post and Telecommunications]:[Finance, Insurance, Real estate and Business services]])</f>
        <v>102</v>
      </c>
      <c r="L240" s="1">
        <v>42629</v>
      </c>
      <c r="M240" t="s">
        <v>26</v>
      </c>
    </row>
    <row r="241" spans="1:13" ht="26.4" customHeight="1" x14ac:dyDescent="0.3">
      <c r="A241" t="s">
        <v>9</v>
      </c>
      <c r="B241">
        <v>6</v>
      </c>
      <c r="C241">
        <v>16</v>
      </c>
      <c r="D241">
        <v>48</v>
      </c>
      <c r="F241">
        <v>5</v>
      </c>
      <c r="G241">
        <v>4</v>
      </c>
      <c r="H241">
        <v>7</v>
      </c>
      <c r="I241">
        <v>1</v>
      </c>
      <c r="J241">
        <v>5</v>
      </c>
      <c r="K241">
        <f>SUM(Table1[[#This Row],[
Post and Telecommunications]:[Finance, Insurance, Real estate and Business services]])</f>
        <v>92</v>
      </c>
      <c r="L241" s="1">
        <v>42788</v>
      </c>
      <c r="M241" t="s">
        <v>2</v>
      </c>
    </row>
    <row r="242" spans="1:13" ht="26.4" customHeight="1" x14ac:dyDescent="0.3">
      <c r="A242" t="s">
        <v>9</v>
      </c>
      <c r="B242">
        <v>2</v>
      </c>
      <c r="C242">
        <v>9</v>
      </c>
      <c r="D242">
        <v>28</v>
      </c>
      <c r="E242">
        <v>0</v>
      </c>
      <c r="F242">
        <v>1</v>
      </c>
      <c r="G242">
        <v>1</v>
      </c>
      <c r="H242">
        <v>8</v>
      </c>
      <c r="I242">
        <v>0</v>
      </c>
      <c r="J242">
        <v>4</v>
      </c>
      <c r="K242">
        <f>SUM(Table1[[#This Row],[
Post and Telecommunications]:[Finance, Insurance, Real estate and Business services]])</f>
        <v>53</v>
      </c>
      <c r="L242" s="1">
        <v>42924</v>
      </c>
      <c r="M242" t="s">
        <v>24</v>
      </c>
    </row>
    <row r="243" spans="1:13" ht="26.4" customHeight="1" x14ac:dyDescent="0.3">
      <c r="A243" t="s">
        <v>9</v>
      </c>
      <c r="B243">
        <v>2</v>
      </c>
      <c r="C243">
        <v>16</v>
      </c>
      <c r="D243">
        <v>33</v>
      </c>
      <c r="E243">
        <v>0</v>
      </c>
      <c r="F243">
        <v>1</v>
      </c>
      <c r="G243">
        <v>3</v>
      </c>
      <c r="H243">
        <v>4</v>
      </c>
      <c r="I243">
        <v>5</v>
      </c>
      <c r="J243">
        <v>3</v>
      </c>
      <c r="K243">
        <f>SUM(Table1[[#This Row],[
Post and Telecommunications]:[Finance, Insurance, Real estate and Business services]])</f>
        <v>67</v>
      </c>
      <c r="L243" s="1">
        <v>42969</v>
      </c>
      <c r="M243" t="s">
        <v>25</v>
      </c>
    </row>
    <row r="244" spans="1:13" ht="26.4" customHeight="1" x14ac:dyDescent="0.3">
      <c r="A244" t="s">
        <v>9</v>
      </c>
      <c r="B244">
        <v>3</v>
      </c>
      <c r="C244">
        <v>19</v>
      </c>
      <c r="D244">
        <v>34</v>
      </c>
      <c r="E244">
        <v>1</v>
      </c>
      <c r="F244">
        <v>3</v>
      </c>
      <c r="G244">
        <v>4</v>
      </c>
      <c r="H244">
        <v>8</v>
      </c>
      <c r="I244">
        <v>4</v>
      </c>
      <c r="J244">
        <v>2</v>
      </c>
      <c r="K244">
        <f>SUM(Table1[[#This Row],[
Post and Telecommunications]:[Finance, Insurance, Real estate and Business services]])</f>
        <v>78</v>
      </c>
      <c r="L244" s="1">
        <v>42969</v>
      </c>
      <c r="M244" t="s">
        <v>26</v>
      </c>
    </row>
    <row r="245" spans="1:13" ht="26.4" customHeight="1" x14ac:dyDescent="0.3">
      <c r="A245" t="s">
        <v>9</v>
      </c>
      <c r="B245">
        <v>4</v>
      </c>
      <c r="C245">
        <v>9</v>
      </c>
      <c r="D245">
        <v>34</v>
      </c>
      <c r="E245">
        <v>0</v>
      </c>
      <c r="F245">
        <v>3</v>
      </c>
      <c r="G245">
        <v>3</v>
      </c>
      <c r="H245">
        <v>2</v>
      </c>
      <c r="I245">
        <v>1</v>
      </c>
      <c r="J245">
        <v>3</v>
      </c>
      <c r="K245">
        <f>SUM(Table1[[#This Row],[
Post and Telecommunications]:[Finance, Insurance, Real estate and Business services]])</f>
        <v>59</v>
      </c>
      <c r="L245" s="1">
        <v>43143</v>
      </c>
      <c r="M245" t="s">
        <v>2</v>
      </c>
    </row>
    <row r="246" spans="1:13" ht="26.4" customHeight="1" x14ac:dyDescent="0.3">
      <c r="A246" t="s">
        <v>9</v>
      </c>
      <c r="B246">
        <v>1</v>
      </c>
      <c r="C246">
        <v>6</v>
      </c>
      <c r="D246">
        <v>50</v>
      </c>
      <c r="E246">
        <v>1</v>
      </c>
      <c r="F246">
        <v>2</v>
      </c>
      <c r="G246">
        <v>4</v>
      </c>
      <c r="H246">
        <v>7</v>
      </c>
      <c r="I246">
        <v>3</v>
      </c>
      <c r="J246">
        <v>7</v>
      </c>
      <c r="K246">
        <f>SUM(Table1[[#This Row],[
Post and Telecommunications]:[Finance, Insurance, Real estate and Business services]])</f>
        <v>81</v>
      </c>
      <c r="L246" s="1">
        <v>43232</v>
      </c>
      <c r="M246" t="s">
        <v>24</v>
      </c>
    </row>
    <row r="247" spans="1:13" ht="26.4" customHeight="1" x14ac:dyDescent="0.3">
      <c r="A247" t="s">
        <v>9</v>
      </c>
      <c r="B247">
        <v>3</v>
      </c>
      <c r="C247">
        <v>13</v>
      </c>
      <c r="D247">
        <v>36</v>
      </c>
      <c r="E247">
        <v>1</v>
      </c>
      <c r="F247">
        <v>3</v>
      </c>
      <c r="G247">
        <v>4</v>
      </c>
      <c r="H247">
        <v>7</v>
      </c>
      <c r="I247">
        <v>4</v>
      </c>
      <c r="J247">
        <v>2</v>
      </c>
      <c r="K247">
        <f>SUM(Table1[[#This Row],[
Post and Telecommunications]:[Finance, Insurance, Real estate and Business services]])</f>
        <v>73</v>
      </c>
      <c r="L247" s="1">
        <v>43232</v>
      </c>
      <c r="M247" t="s">
        <v>24</v>
      </c>
    </row>
    <row r="248" spans="1:13" ht="26.4" customHeight="1" x14ac:dyDescent="0.3">
      <c r="A248" t="s">
        <v>9</v>
      </c>
      <c r="B248">
        <v>1</v>
      </c>
      <c r="C248">
        <v>10</v>
      </c>
      <c r="D248">
        <v>20</v>
      </c>
      <c r="E248">
        <v>0</v>
      </c>
      <c r="F248">
        <v>4</v>
      </c>
      <c r="G248">
        <v>5</v>
      </c>
      <c r="H248">
        <v>3</v>
      </c>
      <c r="I248">
        <v>2</v>
      </c>
      <c r="J248">
        <v>5</v>
      </c>
      <c r="K248">
        <f>SUM(Table1[[#This Row],[
Post and Telecommunications]:[Finance, Insurance, Real estate and Business services]])</f>
        <v>50</v>
      </c>
      <c r="L248" s="1">
        <v>43232</v>
      </c>
      <c r="M248" t="s">
        <v>24</v>
      </c>
    </row>
    <row r="249" spans="1:13" ht="26.4" customHeight="1" x14ac:dyDescent="0.3">
      <c r="A249" t="s">
        <v>11</v>
      </c>
      <c r="B249">
        <v>1</v>
      </c>
      <c r="C249">
        <v>20</v>
      </c>
      <c r="D249">
        <v>56</v>
      </c>
      <c r="E249">
        <v>14</v>
      </c>
      <c r="F249">
        <v>6</v>
      </c>
      <c r="G249">
        <v>2</v>
      </c>
      <c r="H249">
        <v>19</v>
      </c>
      <c r="I249">
        <v>4</v>
      </c>
      <c r="J249">
        <v>4</v>
      </c>
      <c r="K249">
        <f>SUM(Table1[[#This Row],[
Post and Telecommunications]:[Finance, Insurance, Real estate and Business services]])</f>
        <v>126</v>
      </c>
      <c r="L249" s="1">
        <v>42410</v>
      </c>
      <c r="M249" t="s">
        <v>2</v>
      </c>
    </row>
    <row r="250" spans="1:13" ht="26.4" customHeight="1" x14ac:dyDescent="0.3">
      <c r="A250" t="s">
        <v>11</v>
      </c>
      <c r="B250">
        <v>1</v>
      </c>
      <c r="C250">
        <v>15</v>
      </c>
      <c r="D250">
        <v>56</v>
      </c>
      <c r="E250">
        <v>9</v>
      </c>
      <c r="F250">
        <v>4</v>
      </c>
      <c r="G250">
        <v>1</v>
      </c>
      <c r="H250">
        <v>21</v>
      </c>
      <c r="I250">
        <v>2</v>
      </c>
      <c r="J250">
        <v>8</v>
      </c>
      <c r="K250">
        <f>SUM(Table1[[#This Row],[
Post and Telecommunications]:[Finance, Insurance, Real estate and Business services]])</f>
        <v>117</v>
      </c>
      <c r="L250" s="1">
        <v>42492</v>
      </c>
      <c r="M250" t="s">
        <v>24</v>
      </c>
    </row>
    <row r="251" spans="1:13" ht="26.4" customHeight="1" x14ac:dyDescent="0.3">
      <c r="A251" t="s">
        <v>11</v>
      </c>
      <c r="B251">
        <v>1</v>
      </c>
      <c r="C251">
        <v>13</v>
      </c>
      <c r="D251">
        <v>39</v>
      </c>
      <c r="E251">
        <v>5</v>
      </c>
      <c r="F251">
        <v>2</v>
      </c>
      <c r="G251">
        <v>0</v>
      </c>
      <c r="H251">
        <v>13</v>
      </c>
      <c r="I251">
        <v>4</v>
      </c>
      <c r="J251">
        <v>7</v>
      </c>
      <c r="K251">
        <f>SUM(Table1[[#This Row],[
Post and Telecommunications]:[Finance, Insurance, Real estate and Business services]])</f>
        <v>84</v>
      </c>
      <c r="L251" s="1">
        <v>42565</v>
      </c>
      <c r="M251" t="s">
        <v>25</v>
      </c>
    </row>
    <row r="252" spans="1:13" ht="26.4" customHeight="1" x14ac:dyDescent="0.3">
      <c r="A252" t="s">
        <v>11</v>
      </c>
      <c r="B252">
        <v>7</v>
      </c>
      <c r="C252">
        <v>17</v>
      </c>
      <c r="D252">
        <v>53</v>
      </c>
      <c r="E252">
        <v>4</v>
      </c>
      <c r="F252">
        <v>3</v>
      </c>
      <c r="G252">
        <v>1</v>
      </c>
      <c r="H252">
        <v>17</v>
      </c>
      <c r="I252">
        <v>0</v>
      </c>
      <c r="J252">
        <v>7</v>
      </c>
      <c r="K252">
        <f>SUM(Table1[[#This Row],[
Post and Telecommunications]:[Finance, Insurance, Real estate and Business services]])</f>
        <v>109</v>
      </c>
      <c r="L252" s="1">
        <v>42631</v>
      </c>
      <c r="M252" t="s">
        <v>26</v>
      </c>
    </row>
    <row r="253" spans="1:13" ht="26.4" customHeight="1" x14ac:dyDescent="0.3">
      <c r="A253" t="s">
        <v>11</v>
      </c>
      <c r="B253">
        <v>3</v>
      </c>
      <c r="C253">
        <v>26</v>
      </c>
      <c r="D253">
        <v>52</v>
      </c>
      <c r="E253">
        <v>3</v>
      </c>
      <c r="F253">
        <v>4</v>
      </c>
      <c r="G253">
        <v>2</v>
      </c>
      <c r="H253">
        <v>21</v>
      </c>
      <c r="I253">
        <v>1</v>
      </c>
      <c r="J253">
        <v>7</v>
      </c>
      <c r="K253">
        <f>SUM(Table1[[#This Row],[
Post and Telecommunications]:[Finance, Insurance, Real estate and Business services]])</f>
        <v>119</v>
      </c>
      <c r="L253" s="1">
        <v>42790</v>
      </c>
      <c r="M253" t="s">
        <v>2</v>
      </c>
    </row>
    <row r="254" spans="1:13" ht="26.4" customHeight="1" x14ac:dyDescent="0.3">
      <c r="A254" t="s">
        <v>11</v>
      </c>
      <c r="B254">
        <v>6</v>
      </c>
      <c r="C254">
        <v>13</v>
      </c>
      <c r="D254">
        <v>36</v>
      </c>
      <c r="E254">
        <v>0</v>
      </c>
      <c r="F254">
        <v>1</v>
      </c>
      <c r="G254">
        <v>0</v>
      </c>
      <c r="H254">
        <v>8</v>
      </c>
      <c r="I254">
        <v>0</v>
      </c>
      <c r="J254">
        <v>4</v>
      </c>
      <c r="K254">
        <f>SUM(Table1[[#This Row],[
Post and Telecommunications]:[Finance, Insurance, Real estate and Business services]])</f>
        <v>68</v>
      </c>
      <c r="L254" s="1">
        <v>42924</v>
      </c>
      <c r="M254" t="s">
        <v>24</v>
      </c>
    </row>
    <row r="255" spans="1:13" ht="26.4" customHeight="1" x14ac:dyDescent="0.3">
      <c r="A255" t="s">
        <v>11</v>
      </c>
      <c r="B255">
        <v>2</v>
      </c>
      <c r="C255">
        <v>11</v>
      </c>
      <c r="D255">
        <v>35</v>
      </c>
      <c r="E255">
        <v>5</v>
      </c>
      <c r="F255">
        <v>1</v>
      </c>
      <c r="G255">
        <v>1</v>
      </c>
      <c r="H255">
        <v>15</v>
      </c>
      <c r="I255">
        <v>0</v>
      </c>
      <c r="J255">
        <v>1</v>
      </c>
      <c r="K255">
        <f>SUM(Table1[[#This Row],[
Post and Telecommunications]:[Finance, Insurance, Real estate and Business services]])</f>
        <v>71</v>
      </c>
      <c r="L255" s="1">
        <v>42971</v>
      </c>
      <c r="M255" t="s">
        <v>25</v>
      </c>
    </row>
    <row r="256" spans="1:13" ht="26.4" customHeight="1" x14ac:dyDescent="0.3">
      <c r="A256" t="s">
        <v>11</v>
      </c>
      <c r="B256">
        <v>1</v>
      </c>
      <c r="C256">
        <v>14</v>
      </c>
      <c r="D256">
        <v>36</v>
      </c>
      <c r="E256">
        <v>0</v>
      </c>
      <c r="F256">
        <v>2</v>
      </c>
      <c r="G256">
        <v>0</v>
      </c>
      <c r="H256">
        <v>12</v>
      </c>
      <c r="I256">
        <v>1</v>
      </c>
      <c r="J256">
        <v>1</v>
      </c>
      <c r="K256">
        <f>SUM(Table1[[#This Row],[
Post and Telecommunications]:[Finance, Insurance, Real estate and Business services]])</f>
        <v>67</v>
      </c>
      <c r="L256" s="1">
        <v>42971</v>
      </c>
      <c r="M256" t="s">
        <v>26</v>
      </c>
    </row>
    <row r="257" spans="1:13" ht="26.4" customHeight="1" x14ac:dyDescent="0.3">
      <c r="A257" t="s">
        <v>11</v>
      </c>
      <c r="B257">
        <v>3</v>
      </c>
      <c r="C257">
        <v>25</v>
      </c>
      <c r="D257">
        <v>52</v>
      </c>
      <c r="E257">
        <v>0</v>
      </c>
      <c r="F257">
        <v>3</v>
      </c>
      <c r="G257">
        <v>1</v>
      </c>
      <c r="H257">
        <v>13</v>
      </c>
      <c r="I257">
        <v>1</v>
      </c>
      <c r="J257">
        <v>6</v>
      </c>
      <c r="K257">
        <f>SUM(Table1[[#This Row],[
Post and Telecommunications]:[Finance, Insurance, Real estate and Business services]])</f>
        <v>104</v>
      </c>
      <c r="L257" s="1">
        <v>43145</v>
      </c>
      <c r="M257" t="s">
        <v>2</v>
      </c>
    </row>
    <row r="258" spans="1:13" ht="26.4" customHeight="1" x14ac:dyDescent="0.3">
      <c r="A258" t="s">
        <v>11</v>
      </c>
      <c r="B258">
        <v>1</v>
      </c>
      <c r="C258">
        <v>9</v>
      </c>
      <c r="D258">
        <v>39</v>
      </c>
      <c r="E258">
        <v>2</v>
      </c>
      <c r="F258">
        <v>2</v>
      </c>
      <c r="G258">
        <v>0</v>
      </c>
      <c r="H258">
        <v>16</v>
      </c>
      <c r="I258">
        <v>0</v>
      </c>
      <c r="J258">
        <v>3</v>
      </c>
      <c r="K258">
        <f>SUM(Table1[[#This Row],[
Post and Telecommunications]:[Finance, Insurance, Real estate and Business services]])</f>
        <v>72</v>
      </c>
      <c r="L258" s="1">
        <v>43234</v>
      </c>
      <c r="M258" t="s">
        <v>24</v>
      </c>
    </row>
    <row r="259" spans="1:13" ht="26.4" customHeight="1" x14ac:dyDescent="0.3">
      <c r="A259" t="s">
        <v>11</v>
      </c>
      <c r="B259">
        <v>3</v>
      </c>
      <c r="C259">
        <v>16</v>
      </c>
      <c r="D259">
        <v>42</v>
      </c>
      <c r="E259">
        <v>1</v>
      </c>
      <c r="F259">
        <v>3</v>
      </c>
      <c r="G259">
        <v>0</v>
      </c>
      <c r="H259">
        <v>17</v>
      </c>
      <c r="I259">
        <v>0</v>
      </c>
      <c r="J259">
        <v>3</v>
      </c>
      <c r="K259">
        <f>SUM(Table1[[#This Row],[
Post and Telecommunications]:[Finance, Insurance, Real estate and Business services]])</f>
        <v>85</v>
      </c>
      <c r="L259" s="1">
        <v>43234</v>
      </c>
      <c r="M259" t="s">
        <v>24</v>
      </c>
    </row>
    <row r="260" spans="1:13" ht="26.4" customHeight="1" x14ac:dyDescent="0.3">
      <c r="A260" t="s">
        <v>11</v>
      </c>
      <c r="B260">
        <v>1</v>
      </c>
      <c r="C260">
        <v>12</v>
      </c>
      <c r="D260">
        <v>34</v>
      </c>
      <c r="E260">
        <v>8</v>
      </c>
      <c r="F260">
        <v>1</v>
      </c>
      <c r="G260">
        <v>0</v>
      </c>
      <c r="H260">
        <v>10</v>
      </c>
      <c r="I260">
        <v>0</v>
      </c>
      <c r="J260">
        <v>3</v>
      </c>
      <c r="K260">
        <f>SUM(Table1[[#This Row],[
Post and Telecommunications]:[Finance, Insurance, Real estate and Business services]])</f>
        <v>69</v>
      </c>
      <c r="L260" s="1">
        <v>43234</v>
      </c>
      <c r="M260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FD40-E6EF-42BC-BE5E-D37A09E070E0}">
  <dimension ref="A1:M217"/>
  <sheetViews>
    <sheetView tabSelected="1" workbookViewId="0">
      <selection activeCell="B1" sqref="B1"/>
    </sheetView>
  </sheetViews>
  <sheetFormatPr defaultColWidth="23.109375" defaultRowHeight="24" customHeight="1" x14ac:dyDescent="0.3"/>
  <cols>
    <col min="5" max="5" width="16.21875" customWidth="1"/>
  </cols>
  <sheetData>
    <row r="1" spans="1:13" s="3" customFormat="1" ht="54" customHeight="1" x14ac:dyDescent="0.3">
      <c r="A1" s="3" t="s">
        <v>0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3" t="s">
        <v>52</v>
      </c>
      <c r="M1" s="2" t="s">
        <v>53</v>
      </c>
    </row>
    <row r="2" spans="1:13" ht="24" customHeight="1" x14ac:dyDescent="0.3">
      <c r="A2" t="s">
        <v>13</v>
      </c>
      <c r="B2">
        <v>10</v>
      </c>
      <c r="C2">
        <v>63</v>
      </c>
      <c r="D2">
        <v>11</v>
      </c>
      <c r="E2">
        <v>265</v>
      </c>
      <c r="F2">
        <v>6</v>
      </c>
      <c r="G2">
        <v>8</v>
      </c>
      <c r="H2">
        <v>243</v>
      </c>
      <c r="I2">
        <v>6</v>
      </c>
      <c r="J2">
        <v>22</v>
      </c>
      <c r="K2">
        <v>0</v>
      </c>
      <c r="L2" s="1">
        <v>42374</v>
      </c>
      <c r="M2" t="s">
        <v>2</v>
      </c>
    </row>
    <row r="3" spans="1:13" ht="24" customHeight="1" x14ac:dyDescent="0.3">
      <c r="A3" t="s">
        <v>13</v>
      </c>
      <c r="B3">
        <v>9</v>
      </c>
      <c r="C3">
        <v>67</v>
      </c>
      <c r="D3">
        <v>10</v>
      </c>
      <c r="E3">
        <v>263</v>
      </c>
      <c r="F3">
        <v>3</v>
      </c>
      <c r="G3">
        <v>5</v>
      </c>
      <c r="H3">
        <v>236</v>
      </c>
      <c r="I3">
        <v>8</v>
      </c>
      <c r="J3">
        <v>29</v>
      </c>
      <c r="K3">
        <v>0</v>
      </c>
      <c r="L3" s="1">
        <v>42443</v>
      </c>
      <c r="M3" t="s">
        <v>24</v>
      </c>
    </row>
    <row r="4" spans="1:13" ht="24" customHeight="1" x14ac:dyDescent="0.3">
      <c r="A4" t="s">
        <v>13</v>
      </c>
      <c r="B4">
        <v>9</v>
      </c>
      <c r="C4">
        <v>57</v>
      </c>
      <c r="D4">
        <v>7</v>
      </c>
      <c r="E4">
        <v>203</v>
      </c>
      <c r="F4">
        <v>3</v>
      </c>
      <c r="G4">
        <v>6</v>
      </c>
      <c r="H4">
        <v>261</v>
      </c>
      <c r="I4">
        <v>7</v>
      </c>
      <c r="J4">
        <v>13</v>
      </c>
      <c r="K4">
        <v>0</v>
      </c>
      <c r="L4" s="1">
        <v>42600</v>
      </c>
      <c r="M4" t="s">
        <v>25</v>
      </c>
    </row>
    <row r="5" spans="1:13" ht="24" customHeight="1" x14ac:dyDescent="0.3">
      <c r="A5" t="s">
        <v>13</v>
      </c>
      <c r="B5">
        <v>14</v>
      </c>
      <c r="C5">
        <v>52</v>
      </c>
      <c r="D5">
        <v>7</v>
      </c>
      <c r="E5">
        <v>253</v>
      </c>
      <c r="F5">
        <v>2</v>
      </c>
      <c r="G5">
        <v>5</v>
      </c>
      <c r="H5">
        <v>221</v>
      </c>
      <c r="I5">
        <v>6</v>
      </c>
      <c r="J5">
        <v>13</v>
      </c>
      <c r="K5">
        <v>0</v>
      </c>
      <c r="L5" s="1">
        <v>42633</v>
      </c>
      <c r="M5" t="s">
        <v>26</v>
      </c>
    </row>
    <row r="6" spans="1:13" ht="24" customHeight="1" x14ac:dyDescent="0.3">
      <c r="A6" t="s">
        <v>13</v>
      </c>
      <c r="B6">
        <v>12</v>
      </c>
      <c r="C6">
        <v>48</v>
      </c>
      <c r="D6">
        <v>5</v>
      </c>
      <c r="E6">
        <v>247</v>
      </c>
      <c r="F6">
        <v>5</v>
      </c>
      <c r="G6">
        <v>6</v>
      </c>
      <c r="H6">
        <v>240</v>
      </c>
      <c r="I6">
        <v>3</v>
      </c>
      <c r="J6">
        <v>28</v>
      </c>
      <c r="K6">
        <v>1</v>
      </c>
      <c r="L6" s="1">
        <v>42792</v>
      </c>
      <c r="M6" t="s">
        <v>2</v>
      </c>
    </row>
    <row r="7" spans="1:13" ht="24" customHeight="1" x14ac:dyDescent="0.3">
      <c r="A7" t="s">
        <v>13</v>
      </c>
      <c r="B7">
        <v>15</v>
      </c>
      <c r="C7">
        <v>44</v>
      </c>
      <c r="D7">
        <v>6</v>
      </c>
      <c r="E7">
        <v>158</v>
      </c>
      <c r="F7">
        <v>3</v>
      </c>
      <c r="G7">
        <v>6</v>
      </c>
      <c r="H7">
        <v>191</v>
      </c>
      <c r="I7">
        <v>4</v>
      </c>
      <c r="J7">
        <v>13</v>
      </c>
      <c r="K7">
        <v>0</v>
      </c>
      <c r="L7" s="1">
        <v>42973</v>
      </c>
      <c r="M7" t="s">
        <v>26</v>
      </c>
    </row>
    <row r="8" spans="1:13" ht="24" customHeight="1" x14ac:dyDescent="0.3">
      <c r="A8" t="s">
        <v>13</v>
      </c>
      <c r="B8">
        <v>7</v>
      </c>
      <c r="C8">
        <v>21</v>
      </c>
      <c r="D8">
        <v>3</v>
      </c>
      <c r="E8">
        <v>191</v>
      </c>
      <c r="F8">
        <v>5</v>
      </c>
      <c r="G8">
        <v>4</v>
      </c>
      <c r="H8">
        <v>169</v>
      </c>
      <c r="I8">
        <v>3</v>
      </c>
      <c r="J8">
        <v>19</v>
      </c>
      <c r="K8">
        <v>1</v>
      </c>
      <c r="L8" s="1">
        <v>43147</v>
      </c>
      <c r="M8" t="s">
        <v>2</v>
      </c>
    </row>
    <row r="9" spans="1:13" ht="24" customHeight="1" x14ac:dyDescent="0.3">
      <c r="A9" t="s">
        <v>13</v>
      </c>
      <c r="B9">
        <v>7</v>
      </c>
      <c r="C9">
        <v>33</v>
      </c>
      <c r="D9">
        <v>5</v>
      </c>
      <c r="E9">
        <v>127</v>
      </c>
      <c r="F9">
        <v>4</v>
      </c>
      <c r="G9">
        <v>10</v>
      </c>
      <c r="H9">
        <v>137</v>
      </c>
      <c r="I9">
        <v>3</v>
      </c>
      <c r="J9">
        <v>12</v>
      </c>
      <c r="K9">
        <v>0</v>
      </c>
      <c r="L9" s="1">
        <v>43236</v>
      </c>
      <c r="M9" t="s">
        <v>24</v>
      </c>
    </row>
    <row r="10" spans="1:13" ht="24" customHeight="1" x14ac:dyDescent="0.3">
      <c r="A10" t="s">
        <v>13</v>
      </c>
      <c r="B10">
        <v>5</v>
      </c>
      <c r="C10">
        <v>33</v>
      </c>
      <c r="D10">
        <v>3</v>
      </c>
      <c r="E10">
        <v>147</v>
      </c>
      <c r="F10">
        <v>3</v>
      </c>
      <c r="G10">
        <v>5</v>
      </c>
      <c r="H10">
        <v>181</v>
      </c>
      <c r="I10">
        <v>5</v>
      </c>
      <c r="J10">
        <v>11</v>
      </c>
      <c r="K10">
        <v>0</v>
      </c>
      <c r="L10" s="1">
        <v>43236</v>
      </c>
      <c r="M10" t="s">
        <v>24</v>
      </c>
    </row>
    <row r="11" spans="1:13" ht="24" customHeight="1" x14ac:dyDescent="0.3">
      <c r="A11" t="s">
        <v>13</v>
      </c>
      <c r="B11">
        <v>7</v>
      </c>
      <c r="C11">
        <v>25</v>
      </c>
      <c r="D11">
        <v>4</v>
      </c>
      <c r="E11">
        <v>132</v>
      </c>
      <c r="F11">
        <v>1</v>
      </c>
      <c r="G11">
        <v>3</v>
      </c>
      <c r="H11">
        <v>155</v>
      </c>
      <c r="I11">
        <v>5</v>
      </c>
      <c r="J11">
        <v>18</v>
      </c>
      <c r="K11">
        <v>0</v>
      </c>
      <c r="L11" s="1">
        <v>43236</v>
      </c>
      <c r="M11" t="s">
        <v>24</v>
      </c>
    </row>
    <row r="12" spans="1:13" ht="24" customHeight="1" x14ac:dyDescent="0.3">
      <c r="A12" t="s">
        <v>20</v>
      </c>
      <c r="B12">
        <v>2</v>
      </c>
      <c r="C12">
        <v>3</v>
      </c>
      <c r="D12">
        <v>0</v>
      </c>
      <c r="E12">
        <v>43</v>
      </c>
      <c r="F12">
        <v>0</v>
      </c>
      <c r="G12">
        <v>0</v>
      </c>
      <c r="H12">
        <v>25</v>
      </c>
      <c r="I12">
        <v>0</v>
      </c>
      <c r="J12">
        <v>1</v>
      </c>
      <c r="K12">
        <v>0</v>
      </c>
      <c r="L12" s="1">
        <v>42374</v>
      </c>
      <c r="M12" t="s">
        <v>2</v>
      </c>
    </row>
    <row r="13" spans="1:13" ht="24" customHeight="1" x14ac:dyDescent="0.3">
      <c r="A13" t="s">
        <v>20</v>
      </c>
      <c r="B13">
        <v>2</v>
      </c>
      <c r="C13">
        <v>4</v>
      </c>
      <c r="D13">
        <v>0</v>
      </c>
      <c r="E13">
        <v>40</v>
      </c>
      <c r="F13">
        <v>1</v>
      </c>
      <c r="G13">
        <v>1</v>
      </c>
      <c r="H13">
        <v>21</v>
      </c>
      <c r="I13">
        <v>0</v>
      </c>
      <c r="J13">
        <v>0</v>
      </c>
      <c r="K13">
        <v>0</v>
      </c>
      <c r="L13" s="1">
        <v>42450</v>
      </c>
      <c r="M13" t="s">
        <v>24</v>
      </c>
    </row>
    <row r="14" spans="1:13" ht="24" customHeight="1" x14ac:dyDescent="0.3">
      <c r="A14" t="s">
        <v>20</v>
      </c>
      <c r="B14">
        <v>2</v>
      </c>
      <c r="C14">
        <v>0</v>
      </c>
      <c r="D14">
        <v>0</v>
      </c>
      <c r="E14">
        <v>26</v>
      </c>
      <c r="F14">
        <v>2</v>
      </c>
      <c r="G14">
        <v>0</v>
      </c>
      <c r="H14">
        <v>19</v>
      </c>
      <c r="I14">
        <v>0</v>
      </c>
      <c r="J14">
        <v>0</v>
      </c>
      <c r="K14">
        <v>0</v>
      </c>
      <c r="L14" s="1">
        <v>42607</v>
      </c>
      <c r="M14" t="s">
        <v>25</v>
      </c>
    </row>
    <row r="15" spans="1:13" ht="24" customHeight="1" x14ac:dyDescent="0.3">
      <c r="A15" t="s">
        <v>20</v>
      </c>
      <c r="B15">
        <v>4</v>
      </c>
      <c r="C15">
        <v>4</v>
      </c>
      <c r="D15">
        <v>0</v>
      </c>
      <c r="E15">
        <v>33</v>
      </c>
      <c r="F15">
        <v>0</v>
      </c>
      <c r="G15">
        <v>1</v>
      </c>
      <c r="H15">
        <v>34</v>
      </c>
      <c r="I15">
        <v>0</v>
      </c>
      <c r="J15">
        <v>1</v>
      </c>
      <c r="K15">
        <v>0</v>
      </c>
      <c r="L15" s="1">
        <v>42640</v>
      </c>
      <c r="M15" t="s">
        <v>26</v>
      </c>
    </row>
    <row r="16" spans="1:13" ht="24" customHeight="1" x14ac:dyDescent="0.3">
      <c r="A16" t="s">
        <v>20</v>
      </c>
      <c r="B16">
        <v>5</v>
      </c>
      <c r="C16">
        <v>6</v>
      </c>
      <c r="E16">
        <v>21</v>
      </c>
      <c r="H16">
        <v>18</v>
      </c>
      <c r="J16">
        <v>1</v>
      </c>
      <c r="L16" s="1">
        <v>42799</v>
      </c>
      <c r="M16" t="s">
        <v>2</v>
      </c>
    </row>
    <row r="17" spans="1:13" ht="24" customHeight="1" x14ac:dyDescent="0.3">
      <c r="A17" t="s">
        <v>20</v>
      </c>
      <c r="B17">
        <v>0</v>
      </c>
      <c r="C17">
        <v>3</v>
      </c>
      <c r="D17">
        <v>0</v>
      </c>
      <c r="E17">
        <v>24</v>
      </c>
      <c r="F17">
        <v>0</v>
      </c>
      <c r="G17">
        <v>0</v>
      </c>
      <c r="H17">
        <v>19</v>
      </c>
      <c r="I17">
        <v>0</v>
      </c>
      <c r="J17">
        <v>3</v>
      </c>
      <c r="K17">
        <v>0</v>
      </c>
      <c r="L17" s="1">
        <v>42980</v>
      </c>
      <c r="M17" t="s">
        <v>26</v>
      </c>
    </row>
    <row r="18" spans="1:13" ht="24" customHeight="1" x14ac:dyDescent="0.3">
      <c r="A18" t="s">
        <v>20</v>
      </c>
      <c r="B18">
        <v>1</v>
      </c>
      <c r="C18">
        <v>0</v>
      </c>
      <c r="D18">
        <v>0</v>
      </c>
      <c r="E18">
        <v>25</v>
      </c>
      <c r="F18">
        <v>0</v>
      </c>
      <c r="G18">
        <v>0</v>
      </c>
      <c r="H18">
        <v>17</v>
      </c>
      <c r="I18">
        <v>0</v>
      </c>
      <c r="J18">
        <v>0</v>
      </c>
      <c r="K18">
        <v>1</v>
      </c>
      <c r="L18" s="1">
        <v>43154</v>
      </c>
      <c r="M18" t="s">
        <v>2</v>
      </c>
    </row>
    <row r="19" spans="1:13" ht="24" customHeight="1" x14ac:dyDescent="0.3">
      <c r="A19" t="s">
        <v>20</v>
      </c>
      <c r="B19">
        <v>0</v>
      </c>
      <c r="C19">
        <v>0</v>
      </c>
      <c r="D19">
        <v>0</v>
      </c>
      <c r="E19">
        <v>24</v>
      </c>
      <c r="F19">
        <v>0</v>
      </c>
      <c r="G19">
        <v>0</v>
      </c>
      <c r="H19">
        <v>13</v>
      </c>
      <c r="I19">
        <v>0</v>
      </c>
      <c r="J19">
        <v>0</v>
      </c>
      <c r="K19">
        <v>0</v>
      </c>
      <c r="L19" s="1">
        <v>43243</v>
      </c>
      <c r="M19" t="s">
        <v>24</v>
      </c>
    </row>
    <row r="20" spans="1:13" ht="24" customHeight="1" x14ac:dyDescent="0.3">
      <c r="A20" t="s">
        <v>20</v>
      </c>
      <c r="B20">
        <v>0</v>
      </c>
      <c r="C20">
        <v>1</v>
      </c>
      <c r="D20">
        <v>0</v>
      </c>
      <c r="E20">
        <v>19</v>
      </c>
      <c r="F20">
        <v>0</v>
      </c>
      <c r="G20">
        <v>0</v>
      </c>
      <c r="H20">
        <v>10</v>
      </c>
      <c r="I20">
        <v>0</v>
      </c>
      <c r="J20">
        <v>0</v>
      </c>
      <c r="K20">
        <v>0</v>
      </c>
      <c r="L20" s="1">
        <v>43243</v>
      </c>
      <c r="M20" t="s">
        <v>24</v>
      </c>
    </row>
    <row r="21" spans="1:13" ht="24" customHeight="1" x14ac:dyDescent="0.3">
      <c r="A21" t="s">
        <v>20</v>
      </c>
      <c r="B21">
        <v>1</v>
      </c>
      <c r="C21">
        <v>3</v>
      </c>
      <c r="D21">
        <v>0</v>
      </c>
      <c r="E21">
        <v>24</v>
      </c>
      <c r="F21">
        <v>0</v>
      </c>
      <c r="G21">
        <v>0</v>
      </c>
      <c r="H21">
        <v>14</v>
      </c>
      <c r="I21">
        <v>1</v>
      </c>
      <c r="J21">
        <v>0</v>
      </c>
      <c r="K21">
        <v>0</v>
      </c>
      <c r="L21" s="1">
        <v>43243</v>
      </c>
      <c r="M21" t="s">
        <v>24</v>
      </c>
    </row>
    <row r="22" spans="1:13" ht="24" customHeight="1" x14ac:dyDescent="0.3">
      <c r="A22" t="s">
        <v>14</v>
      </c>
      <c r="B22">
        <v>0</v>
      </c>
      <c r="C22">
        <v>2</v>
      </c>
      <c r="D22">
        <v>0</v>
      </c>
      <c r="E22">
        <v>9</v>
      </c>
      <c r="F22">
        <v>0</v>
      </c>
      <c r="G22">
        <v>0</v>
      </c>
      <c r="H22">
        <v>8</v>
      </c>
      <c r="I22">
        <v>0</v>
      </c>
      <c r="J22">
        <v>2</v>
      </c>
      <c r="K22">
        <v>0</v>
      </c>
      <c r="L22" s="1">
        <v>42374</v>
      </c>
      <c r="M22" t="s">
        <v>2</v>
      </c>
    </row>
    <row r="23" spans="1:13" ht="24" customHeight="1" x14ac:dyDescent="0.3">
      <c r="A23" t="s">
        <v>14</v>
      </c>
      <c r="B23">
        <v>0</v>
      </c>
      <c r="C23">
        <v>0</v>
      </c>
      <c r="D23">
        <v>0</v>
      </c>
      <c r="E23">
        <v>7</v>
      </c>
      <c r="F23">
        <v>0</v>
      </c>
      <c r="G23">
        <v>0</v>
      </c>
      <c r="H23">
        <v>4</v>
      </c>
      <c r="I23">
        <v>1</v>
      </c>
      <c r="J23">
        <v>0</v>
      </c>
      <c r="K23">
        <v>0</v>
      </c>
      <c r="L23" s="1">
        <v>42444</v>
      </c>
      <c r="M23" t="s">
        <v>24</v>
      </c>
    </row>
    <row r="24" spans="1:13" ht="24" customHeight="1" x14ac:dyDescent="0.3">
      <c r="A24" t="s">
        <v>14</v>
      </c>
      <c r="B24">
        <v>0</v>
      </c>
      <c r="C24">
        <v>2</v>
      </c>
      <c r="D24">
        <v>0</v>
      </c>
      <c r="E24">
        <v>9</v>
      </c>
      <c r="F24">
        <v>0</v>
      </c>
      <c r="G24">
        <v>0</v>
      </c>
      <c r="H24">
        <v>11</v>
      </c>
      <c r="I24">
        <v>1</v>
      </c>
      <c r="J24">
        <v>1</v>
      </c>
      <c r="K24">
        <v>0</v>
      </c>
      <c r="L24" s="1">
        <v>42601</v>
      </c>
      <c r="M24" t="s">
        <v>25</v>
      </c>
    </row>
    <row r="25" spans="1:13" ht="24" customHeight="1" x14ac:dyDescent="0.3">
      <c r="A25" t="s">
        <v>14</v>
      </c>
      <c r="B25">
        <v>1</v>
      </c>
      <c r="C25">
        <v>1</v>
      </c>
      <c r="D25">
        <v>1</v>
      </c>
      <c r="E25">
        <v>6</v>
      </c>
      <c r="F25">
        <v>0</v>
      </c>
      <c r="G25">
        <v>2</v>
      </c>
      <c r="H25">
        <v>13</v>
      </c>
      <c r="I25">
        <v>0</v>
      </c>
      <c r="J25">
        <v>1</v>
      </c>
      <c r="K25">
        <v>0</v>
      </c>
      <c r="L25" s="1">
        <v>42634</v>
      </c>
      <c r="M25" t="s">
        <v>26</v>
      </c>
    </row>
    <row r="26" spans="1:13" ht="24" customHeight="1" x14ac:dyDescent="0.3">
      <c r="A26" t="s">
        <v>14</v>
      </c>
      <c r="B26">
        <v>0</v>
      </c>
      <c r="C26">
        <v>1</v>
      </c>
      <c r="D26">
        <v>0</v>
      </c>
      <c r="E26">
        <v>5</v>
      </c>
      <c r="H26">
        <v>11</v>
      </c>
      <c r="I26">
        <v>1</v>
      </c>
      <c r="L26" s="1">
        <v>42793</v>
      </c>
      <c r="M26" t="s">
        <v>2</v>
      </c>
    </row>
    <row r="27" spans="1:13" ht="24" customHeight="1" x14ac:dyDescent="0.3">
      <c r="A27" t="s">
        <v>14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42974</v>
      </c>
      <c r="M27" t="s">
        <v>26</v>
      </c>
    </row>
    <row r="28" spans="1:13" ht="24" customHeight="1" x14ac:dyDescent="0.3">
      <c r="A28" t="s">
        <v>14</v>
      </c>
      <c r="B28">
        <v>0</v>
      </c>
      <c r="C28">
        <v>0</v>
      </c>
      <c r="D28">
        <v>0</v>
      </c>
      <c r="E28">
        <v>2</v>
      </c>
      <c r="F28">
        <v>0</v>
      </c>
      <c r="G28">
        <v>1</v>
      </c>
      <c r="H28">
        <v>2</v>
      </c>
      <c r="I28">
        <v>0</v>
      </c>
      <c r="J28">
        <v>1</v>
      </c>
      <c r="K28">
        <v>0</v>
      </c>
      <c r="L28" s="1">
        <v>43148</v>
      </c>
      <c r="M28" t="s">
        <v>2</v>
      </c>
    </row>
    <row r="29" spans="1:13" ht="24" customHeight="1" x14ac:dyDescent="0.3">
      <c r="A29" t="s">
        <v>14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 s="1">
        <v>43237</v>
      </c>
      <c r="M29" t="s">
        <v>24</v>
      </c>
    </row>
    <row r="30" spans="1:13" ht="24" customHeight="1" x14ac:dyDescent="0.3">
      <c r="A30" t="s">
        <v>14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 s="1">
        <v>43237</v>
      </c>
      <c r="M30" t="s">
        <v>24</v>
      </c>
    </row>
    <row r="31" spans="1:13" ht="24" customHeight="1" x14ac:dyDescent="0.3">
      <c r="A31" t="s">
        <v>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6</v>
      </c>
      <c r="I31">
        <v>24</v>
      </c>
      <c r="J31">
        <v>1</v>
      </c>
      <c r="K31">
        <v>0</v>
      </c>
      <c r="L31" s="1">
        <v>43237</v>
      </c>
      <c r="M31" t="s">
        <v>24</v>
      </c>
    </row>
    <row r="32" spans="1:13" ht="24" customHeight="1" x14ac:dyDescent="0.3">
      <c r="A32" t="s">
        <v>5</v>
      </c>
      <c r="B32">
        <v>0</v>
      </c>
      <c r="C32">
        <v>1</v>
      </c>
      <c r="D32">
        <v>1</v>
      </c>
      <c r="E32">
        <v>8</v>
      </c>
      <c r="F32">
        <v>0</v>
      </c>
      <c r="G32">
        <v>1</v>
      </c>
      <c r="H32">
        <v>12</v>
      </c>
      <c r="I32">
        <v>4</v>
      </c>
      <c r="J32">
        <v>0</v>
      </c>
      <c r="K32">
        <v>0</v>
      </c>
      <c r="L32" s="1">
        <v>42374</v>
      </c>
      <c r="M32" t="s">
        <v>2</v>
      </c>
    </row>
    <row r="33" spans="1:13" ht="24" customHeight="1" x14ac:dyDescent="0.3">
      <c r="A33" t="s">
        <v>5</v>
      </c>
      <c r="B33">
        <v>0</v>
      </c>
      <c r="C33">
        <v>2</v>
      </c>
      <c r="D33">
        <v>1</v>
      </c>
      <c r="E33">
        <v>21</v>
      </c>
      <c r="F33">
        <v>0</v>
      </c>
      <c r="G33">
        <v>0</v>
      </c>
      <c r="H33">
        <v>24</v>
      </c>
      <c r="I33">
        <v>3</v>
      </c>
      <c r="J33">
        <v>0</v>
      </c>
      <c r="K33">
        <v>0</v>
      </c>
      <c r="L33" s="1">
        <v>42435</v>
      </c>
      <c r="M33" t="s">
        <v>24</v>
      </c>
    </row>
    <row r="34" spans="1:13" ht="24" customHeight="1" x14ac:dyDescent="0.3">
      <c r="A34" t="s">
        <v>5</v>
      </c>
      <c r="B34">
        <v>1</v>
      </c>
      <c r="C34">
        <v>2</v>
      </c>
      <c r="D34">
        <v>0</v>
      </c>
      <c r="E34">
        <v>15</v>
      </c>
      <c r="F34">
        <v>0</v>
      </c>
      <c r="G34">
        <v>1</v>
      </c>
      <c r="H34">
        <v>10</v>
      </c>
      <c r="I34">
        <v>7</v>
      </c>
      <c r="J34">
        <v>0</v>
      </c>
      <c r="K34">
        <v>0</v>
      </c>
      <c r="L34" s="1">
        <v>42592</v>
      </c>
      <c r="M34" t="s">
        <v>25</v>
      </c>
    </row>
    <row r="35" spans="1:13" ht="24" customHeight="1" x14ac:dyDescent="0.3">
      <c r="A35" t="s">
        <v>5</v>
      </c>
      <c r="B35">
        <v>0</v>
      </c>
      <c r="C35">
        <v>2</v>
      </c>
      <c r="D35">
        <v>0</v>
      </c>
      <c r="E35">
        <v>25</v>
      </c>
      <c r="F35">
        <v>0</v>
      </c>
      <c r="G35">
        <v>2</v>
      </c>
      <c r="H35">
        <v>19</v>
      </c>
      <c r="I35">
        <v>8</v>
      </c>
      <c r="J35">
        <v>0</v>
      </c>
      <c r="K35">
        <v>0</v>
      </c>
      <c r="L35" s="1">
        <v>42625</v>
      </c>
      <c r="M35" t="s">
        <v>26</v>
      </c>
    </row>
    <row r="36" spans="1:13" ht="24" customHeight="1" x14ac:dyDescent="0.3">
      <c r="A36" t="s">
        <v>5</v>
      </c>
      <c r="B36">
        <v>2</v>
      </c>
      <c r="C36">
        <v>5</v>
      </c>
      <c r="D36">
        <v>1</v>
      </c>
      <c r="E36">
        <v>19</v>
      </c>
      <c r="G36">
        <v>1</v>
      </c>
      <c r="H36">
        <v>17</v>
      </c>
      <c r="I36">
        <v>17</v>
      </c>
      <c r="L36" s="1">
        <v>42784</v>
      </c>
      <c r="M36" t="s">
        <v>2</v>
      </c>
    </row>
    <row r="37" spans="1:13" ht="24" customHeight="1" x14ac:dyDescent="0.3">
      <c r="A37" t="s">
        <v>5</v>
      </c>
      <c r="B37">
        <v>0</v>
      </c>
      <c r="C37">
        <v>1</v>
      </c>
      <c r="D37">
        <v>0</v>
      </c>
      <c r="E37">
        <v>8</v>
      </c>
      <c r="F37">
        <v>0</v>
      </c>
      <c r="G37">
        <v>0</v>
      </c>
      <c r="H37">
        <v>7</v>
      </c>
      <c r="I37">
        <v>8</v>
      </c>
      <c r="J37">
        <v>0</v>
      </c>
      <c r="K37">
        <v>0</v>
      </c>
      <c r="L37" s="1">
        <v>42965</v>
      </c>
      <c r="M37" t="s">
        <v>26</v>
      </c>
    </row>
    <row r="38" spans="1:13" ht="24" customHeight="1" x14ac:dyDescent="0.3">
      <c r="A38" t="s">
        <v>5</v>
      </c>
      <c r="B38">
        <v>0</v>
      </c>
      <c r="C38">
        <v>2</v>
      </c>
      <c r="D38">
        <v>0</v>
      </c>
      <c r="E38">
        <v>11</v>
      </c>
      <c r="F38">
        <v>1</v>
      </c>
      <c r="G38">
        <v>0</v>
      </c>
      <c r="H38">
        <v>14</v>
      </c>
      <c r="I38">
        <v>5</v>
      </c>
      <c r="J38">
        <v>1</v>
      </c>
      <c r="K38">
        <v>0</v>
      </c>
      <c r="L38" s="1">
        <v>43139</v>
      </c>
      <c r="M38" t="s">
        <v>2</v>
      </c>
    </row>
    <row r="39" spans="1:13" ht="24" customHeight="1" x14ac:dyDescent="0.3">
      <c r="A39" t="s">
        <v>5</v>
      </c>
      <c r="B39">
        <v>0</v>
      </c>
      <c r="C39">
        <v>0</v>
      </c>
      <c r="D39">
        <v>0</v>
      </c>
      <c r="E39">
        <v>10</v>
      </c>
      <c r="F39">
        <v>0</v>
      </c>
      <c r="G39">
        <v>0</v>
      </c>
      <c r="H39">
        <v>7</v>
      </c>
      <c r="I39">
        <v>3</v>
      </c>
      <c r="J39">
        <v>0</v>
      </c>
      <c r="K39">
        <v>0</v>
      </c>
      <c r="L39" s="1">
        <v>43228</v>
      </c>
      <c r="M39" t="s">
        <v>24</v>
      </c>
    </row>
    <row r="40" spans="1:13" ht="24" customHeight="1" x14ac:dyDescent="0.3">
      <c r="A40" t="s">
        <v>5</v>
      </c>
      <c r="B40">
        <v>0</v>
      </c>
      <c r="C40">
        <v>3</v>
      </c>
      <c r="D40">
        <v>0</v>
      </c>
      <c r="E40">
        <v>9</v>
      </c>
      <c r="F40">
        <v>0</v>
      </c>
      <c r="G40">
        <v>0</v>
      </c>
      <c r="H40">
        <v>8</v>
      </c>
      <c r="I40">
        <v>7</v>
      </c>
      <c r="J40">
        <v>0</v>
      </c>
      <c r="K40">
        <v>0</v>
      </c>
      <c r="L40" s="1">
        <v>43228</v>
      </c>
      <c r="M40" t="s">
        <v>24</v>
      </c>
    </row>
    <row r="41" spans="1:13" ht="24" customHeight="1" x14ac:dyDescent="0.3">
      <c r="A41" t="s">
        <v>5</v>
      </c>
      <c r="B41">
        <v>2</v>
      </c>
      <c r="C41">
        <v>3</v>
      </c>
      <c r="D41">
        <v>1</v>
      </c>
      <c r="E41">
        <v>5</v>
      </c>
      <c r="F41">
        <v>1</v>
      </c>
      <c r="G41">
        <v>0</v>
      </c>
      <c r="H41">
        <v>10</v>
      </c>
      <c r="I41">
        <v>0</v>
      </c>
      <c r="J41">
        <v>0</v>
      </c>
      <c r="K41">
        <v>0</v>
      </c>
      <c r="L41" s="1">
        <v>43228</v>
      </c>
      <c r="M41" t="s">
        <v>24</v>
      </c>
    </row>
    <row r="42" spans="1:13" ht="24" customHeight="1" x14ac:dyDescent="0.3">
      <c r="A42" t="s">
        <v>3</v>
      </c>
      <c r="B42">
        <v>2</v>
      </c>
      <c r="C42">
        <v>7</v>
      </c>
      <c r="D42">
        <v>0</v>
      </c>
      <c r="E42">
        <v>93</v>
      </c>
      <c r="F42">
        <v>2</v>
      </c>
      <c r="G42">
        <v>3</v>
      </c>
      <c r="H42">
        <v>89</v>
      </c>
      <c r="I42">
        <v>3</v>
      </c>
      <c r="J42">
        <v>4</v>
      </c>
      <c r="K42">
        <v>0</v>
      </c>
      <c r="L42" s="1">
        <v>42374</v>
      </c>
      <c r="M42" t="s">
        <v>2</v>
      </c>
    </row>
    <row r="43" spans="1:13" ht="24" customHeight="1" x14ac:dyDescent="0.3">
      <c r="A43" t="s">
        <v>3</v>
      </c>
      <c r="B43">
        <v>3</v>
      </c>
      <c r="C43">
        <v>13</v>
      </c>
      <c r="D43">
        <v>0</v>
      </c>
      <c r="E43">
        <v>115</v>
      </c>
      <c r="F43">
        <v>2</v>
      </c>
      <c r="G43">
        <v>4</v>
      </c>
      <c r="H43">
        <v>85</v>
      </c>
      <c r="I43">
        <v>1</v>
      </c>
      <c r="J43">
        <v>5</v>
      </c>
      <c r="K43">
        <v>0</v>
      </c>
      <c r="L43" s="1">
        <v>42433</v>
      </c>
      <c r="M43" t="s">
        <v>24</v>
      </c>
    </row>
    <row r="44" spans="1:13" ht="24" customHeight="1" x14ac:dyDescent="0.3">
      <c r="A44" t="s">
        <v>3</v>
      </c>
      <c r="B44">
        <v>4</v>
      </c>
      <c r="C44">
        <v>14</v>
      </c>
      <c r="D44">
        <v>2</v>
      </c>
      <c r="E44">
        <v>88</v>
      </c>
      <c r="F44">
        <v>1</v>
      </c>
      <c r="G44">
        <v>2</v>
      </c>
      <c r="H44">
        <v>78</v>
      </c>
      <c r="I44">
        <v>0</v>
      </c>
      <c r="J44">
        <v>4</v>
      </c>
      <c r="K44">
        <v>0</v>
      </c>
      <c r="L44" s="1">
        <v>42590</v>
      </c>
      <c r="M44" t="s">
        <v>25</v>
      </c>
    </row>
    <row r="45" spans="1:13" ht="24" customHeight="1" x14ac:dyDescent="0.3">
      <c r="A45" t="s">
        <v>3</v>
      </c>
      <c r="B45">
        <v>6</v>
      </c>
      <c r="C45">
        <v>18</v>
      </c>
      <c r="D45">
        <v>1</v>
      </c>
      <c r="E45">
        <v>141</v>
      </c>
      <c r="F45">
        <v>2</v>
      </c>
      <c r="G45">
        <v>7</v>
      </c>
      <c r="H45">
        <v>117</v>
      </c>
      <c r="I45">
        <v>3</v>
      </c>
      <c r="J45">
        <v>9</v>
      </c>
      <c r="K45">
        <v>0</v>
      </c>
      <c r="L45" s="1">
        <v>42623</v>
      </c>
      <c r="M45" t="s">
        <v>26</v>
      </c>
    </row>
    <row r="46" spans="1:13" ht="24" customHeight="1" x14ac:dyDescent="0.3">
      <c r="A46" t="s">
        <v>3</v>
      </c>
      <c r="B46">
        <v>7</v>
      </c>
      <c r="C46">
        <v>10</v>
      </c>
      <c r="D46">
        <v>2</v>
      </c>
      <c r="E46">
        <v>126</v>
      </c>
      <c r="F46">
        <v>3</v>
      </c>
      <c r="G46">
        <v>4</v>
      </c>
      <c r="H46">
        <v>125</v>
      </c>
      <c r="I46">
        <v>4</v>
      </c>
      <c r="J46">
        <v>5</v>
      </c>
      <c r="L46" s="1">
        <v>42782</v>
      </c>
      <c r="M46" t="s">
        <v>2</v>
      </c>
    </row>
    <row r="47" spans="1:13" ht="24" customHeight="1" x14ac:dyDescent="0.3">
      <c r="A47" t="s">
        <v>3</v>
      </c>
      <c r="B47">
        <v>3</v>
      </c>
      <c r="C47">
        <v>11</v>
      </c>
      <c r="D47">
        <v>2</v>
      </c>
      <c r="E47">
        <v>78</v>
      </c>
      <c r="F47">
        <v>2</v>
      </c>
      <c r="G47">
        <v>1</v>
      </c>
      <c r="H47">
        <v>94</v>
      </c>
      <c r="I47">
        <v>1</v>
      </c>
      <c r="J47">
        <v>6</v>
      </c>
      <c r="K47">
        <v>0</v>
      </c>
      <c r="L47" s="1">
        <v>42963</v>
      </c>
      <c r="M47" t="s">
        <v>26</v>
      </c>
    </row>
    <row r="48" spans="1:13" ht="24" customHeight="1" x14ac:dyDescent="0.3">
      <c r="A48" t="s">
        <v>3</v>
      </c>
      <c r="B48">
        <v>3</v>
      </c>
      <c r="C48">
        <v>13</v>
      </c>
      <c r="D48">
        <v>1</v>
      </c>
      <c r="E48">
        <v>78</v>
      </c>
      <c r="F48">
        <v>1</v>
      </c>
      <c r="G48">
        <v>1</v>
      </c>
      <c r="H48">
        <v>90</v>
      </c>
      <c r="I48">
        <v>4</v>
      </c>
      <c r="J48">
        <v>13</v>
      </c>
      <c r="K48">
        <v>0</v>
      </c>
      <c r="L48" s="1">
        <v>43137</v>
      </c>
      <c r="M48" t="s">
        <v>2</v>
      </c>
    </row>
    <row r="49" spans="1:13" ht="24" customHeight="1" x14ac:dyDescent="0.3">
      <c r="A49" t="s">
        <v>3</v>
      </c>
      <c r="B49">
        <v>0</v>
      </c>
      <c r="C49">
        <v>4</v>
      </c>
      <c r="D49">
        <v>0</v>
      </c>
      <c r="E49">
        <v>63</v>
      </c>
      <c r="F49">
        <v>1</v>
      </c>
      <c r="G49">
        <v>5</v>
      </c>
      <c r="H49">
        <v>72</v>
      </c>
      <c r="I49">
        <v>1</v>
      </c>
      <c r="J49">
        <v>5</v>
      </c>
      <c r="K49">
        <v>1</v>
      </c>
      <c r="L49" s="1">
        <v>43226</v>
      </c>
      <c r="M49" t="s">
        <v>24</v>
      </c>
    </row>
    <row r="50" spans="1:13" ht="24" customHeight="1" x14ac:dyDescent="0.3">
      <c r="A50" t="s">
        <v>3</v>
      </c>
      <c r="B50">
        <v>1</v>
      </c>
      <c r="C50">
        <v>5</v>
      </c>
      <c r="D50">
        <v>1</v>
      </c>
      <c r="E50">
        <v>68</v>
      </c>
      <c r="F50">
        <v>4</v>
      </c>
      <c r="G50">
        <v>5</v>
      </c>
      <c r="H50">
        <v>82</v>
      </c>
      <c r="I50">
        <v>5</v>
      </c>
      <c r="J50">
        <v>2</v>
      </c>
      <c r="K50">
        <v>0</v>
      </c>
      <c r="L50" s="1">
        <v>43226</v>
      </c>
      <c r="M50" t="s">
        <v>24</v>
      </c>
    </row>
    <row r="51" spans="1:13" ht="24" customHeight="1" x14ac:dyDescent="0.3">
      <c r="A51" t="s">
        <v>3</v>
      </c>
      <c r="B51">
        <v>4</v>
      </c>
      <c r="C51">
        <v>6</v>
      </c>
      <c r="D51">
        <v>0</v>
      </c>
      <c r="E51">
        <v>74</v>
      </c>
      <c r="F51">
        <v>1</v>
      </c>
      <c r="G51">
        <v>3</v>
      </c>
      <c r="H51">
        <v>76</v>
      </c>
      <c r="I51">
        <v>4</v>
      </c>
      <c r="J51">
        <v>7</v>
      </c>
      <c r="K51">
        <v>1</v>
      </c>
      <c r="L51" s="1">
        <v>43226</v>
      </c>
      <c r="M51" t="s">
        <v>24</v>
      </c>
    </row>
    <row r="52" spans="1:13" ht="24" customHeight="1" x14ac:dyDescent="0.3">
      <c r="A52" t="s">
        <v>10</v>
      </c>
      <c r="B52">
        <v>8</v>
      </c>
      <c r="C52">
        <v>33</v>
      </c>
      <c r="D52">
        <v>2</v>
      </c>
      <c r="E52">
        <v>161</v>
      </c>
      <c r="F52">
        <v>1</v>
      </c>
      <c r="G52">
        <v>7</v>
      </c>
      <c r="H52">
        <v>173</v>
      </c>
      <c r="I52">
        <v>1</v>
      </c>
      <c r="J52">
        <v>10</v>
      </c>
      <c r="K52">
        <v>0</v>
      </c>
      <c r="L52" s="1">
        <v>42374</v>
      </c>
      <c r="M52" t="s">
        <v>2</v>
      </c>
    </row>
    <row r="53" spans="1:13" ht="24" customHeight="1" x14ac:dyDescent="0.3">
      <c r="A53" t="s">
        <v>10</v>
      </c>
      <c r="B53">
        <v>1</v>
      </c>
      <c r="C53">
        <v>12</v>
      </c>
      <c r="D53">
        <v>5</v>
      </c>
      <c r="E53">
        <v>112</v>
      </c>
      <c r="F53">
        <v>2</v>
      </c>
      <c r="G53">
        <v>11</v>
      </c>
      <c r="H53">
        <v>137</v>
      </c>
      <c r="I53">
        <v>3</v>
      </c>
      <c r="J53">
        <v>24</v>
      </c>
      <c r="K53">
        <v>1</v>
      </c>
      <c r="L53" s="1">
        <v>42440</v>
      </c>
      <c r="M53" t="s">
        <v>24</v>
      </c>
    </row>
    <row r="54" spans="1:13" ht="24" customHeight="1" x14ac:dyDescent="0.3">
      <c r="A54" t="s">
        <v>10</v>
      </c>
      <c r="B54">
        <v>4</v>
      </c>
      <c r="C54">
        <v>6</v>
      </c>
      <c r="D54">
        <v>2</v>
      </c>
      <c r="E54">
        <v>66</v>
      </c>
      <c r="F54">
        <v>1</v>
      </c>
      <c r="G54">
        <v>5</v>
      </c>
      <c r="H54">
        <v>116</v>
      </c>
      <c r="I54">
        <v>3</v>
      </c>
      <c r="J54">
        <v>10</v>
      </c>
      <c r="K54">
        <v>0</v>
      </c>
      <c r="L54" s="1">
        <v>42597</v>
      </c>
      <c r="M54" t="s">
        <v>25</v>
      </c>
    </row>
    <row r="55" spans="1:13" ht="24" customHeight="1" x14ac:dyDescent="0.3">
      <c r="A55" t="s">
        <v>10</v>
      </c>
      <c r="B55">
        <v>3</v>
      </c>
      <c r="C55">
        <v>13</v>
      </c>
      <c r="D55">
        <v>2</v>
      </c>
      <c r="E55">
        <v>67</v>
      </c>
      <c r="F55">
        <v>2</v>
      </c>
      <c r="G55">
        <v>5</v>
      </c>
      <c r="H55">
        <v>109</v>
      </c>
      <c r="I55">
        <v>2</v>
      </c>
      <c r="J55">
        <v>10</v>
      </c>
      <c r="K55">
        <v>0</v>
      </c>
      <c r="L55" s="1">
        <v>42630</v>
      </c>
      <c r="M55" t="s">
        <v>26</v>
      </c>
    </row>
    <row r="56" spans="1:13" ht="24" customHeight="1" x14ac:dyDescent="0.3">
      <c r="A56" t="s">
        <v>10</v>
      </c>
      <c r="B56">
        <v>5</v>
      </c>
      <c r="C56">
        <v>12</v>
      </c>
      <c r="D56">
        <v>0</v>
      </c>
      <c r="E56">
        <v>94</v>
      </c>
      <c r="F56">
        <v>1</v>
      </c>
      <c r="G56">
        <v>3</v>
      </c>
      <c r="H56">
        <v>115</v>
      </c>
      <c r="I56">
        <v>2</v>
      </c>
      <c r="J56">
        <v>9</v>
      </c>
      <c r="K56">
        <v>2</v>
      </c>
      <c r="L56" s="1">
        <v>42789</v>
      </c>
      <c r="M56" t="s">
        <v>2</v>
      </c>
    </row>
    <row r="57" spans="1:13" ht="24" customHeight="1" x14ac:dyDescent="0.3">
      <c r="A57" t="s">
        <v>10</v>
      </c>
      <c r="B57">
        <v>2</v>
      </c>
      <c r="C57">
        <v>4</v>
      </c>
      <c r="D57">
        <v>0</v>
      </c>
      <c r="E57">
        <v>46</v>
      </c>
      <c r="F57">
        <v>1</v>
      </c>
      <c r="G57">
        <v>3</v>
      </c>
      <c r="H57">
        <v>55</v>
      </c>
      <c r="I57">
        <v>1</v>
      </c>
      <c r="J57">
        <v>6</v>
      </c>
      <c r="K57">
        <v>0</v>
      </c>
      <c r="L57" s="1">
        <v>42970</v>
      </c>
      <c r="M57" t="s">
        <v>26</v>
      </c>
    </row>
    <row r="58" spans="1:13" ht="24" customHeight="1" x14ac:dyDescent="0.3">
      <c r="A58" t="s">
        <v>10</v>
      </c>
      <c r="B58">
        <v>3</v>
      </c>
      <c r="C58">
        <v>6</v>
      </c>
      <c r="D58">
        <v>1</v>
      </c>
      <c r="E58">
        <v>49</v>
      </c>
      <c r="F58">
        <v>1</v>
      </c>
      <c r="G58">
        <v>4</v>
      </c>
      <c r="H58">
        <v>67</v>
      </c>
      <c r="I58">
        <v>0</v>
      </c>
      <c r="J58">
        <v>4</v>
      </c>
      <c r="K58">
        <v>0</v>
      </c>
      <c r="L58" s="1">
        <v>43144</v>
      </c>
      <c r="M58" t="s">
        <v>2</v>
      </c>
    </row>
    <row r="59" spans="1:13" ht="24" customHeight="1" x14ac:dyDescent="0.3">
      <c r="A59" t="s">
        <v>10</v>
      </c>
      <c r="B59">
        <v>0</v>
      </c>
      <c r="C59">
        <v>6</v>
      </c>
      <c r="D59">
        <v>0</v>
      </c>
      <c r="E59">
        <v>37</v>
      </c>
      <c r="F59">
        <v>2</v>
      </c>
      <c r="G59">
        <v>2</v>
      </c>
      <c r="H59">
        <v>71</v>
      </c>
      <c r="I59">
        <v>0</v>
      </c>
      <c r="J59">
        <v>8</v>
      </c>
      <c r="K59">
        <v>0</v>
      </c>
      <c r="L59" s="1">
        <v>43233</v>
      </c>
      <c r="M59" t="s">
        <v>24</v>
      </c>
    </row>
    <row r="60" spans="1:13" ht="24" customHeight="1" x14ac:dyDescent="0.3">
      <c r="A60" t="s">
        <v>10</v>
      </c>
      <c r="B60">
        <v>1</v>
      </c>
      <c r="C60">
        <v>8</v>
      </c>
      <c r="D60">
        <v>0</v>
      </c>
      <c r="E60">
        <v>35</v>
      </c>
      <c r="F60">
        <v>2</v>
      </c>
      <c r="G60">
        <v>3</v>
      </c>
      <c r="H60">
        <v>69</v>
      </c>
      <c r="I60">
        <v>0</v>
      </c>
      <c r="J60">
        <v>1</v>
      </c>
      <c r="K60">
        <v>0</v>
      </c>
      <c r="L60" s="1">
        <v>43233</v>
      </c>
      <c r="M60" t="s">
        <v>24</v>
      </c>
    </row>
    <row r="61" spans="1:13" ht="24" customHeight="1" x14ac:dyDescent="0.3">
      <c r="A61" t="s">
        <v>10</v>
      </c>
      <c r="B61">
        <v>1</v>
      </c>
      <c r="C61">
        <v>6</v>
      </c>
      <c r="D61">
        <v>1</v>
      </c>
      <c r="E61">
        <v>44</v>
      </c>
      <c r="F61">
        <v>0</v>
      </c>
      <c r="G61">
        <v>1</v>
      </c>
      <c r="H61">
        <v>80</v>
      </c>
      <c r="I61">
        <v>0</v>
      </c>
      <c r="J61">
        <v>8</v>
      </c>
      <c r="K61">
        <v>0</v>
      </c>
      <c r="L61" s="1">
        <v>43233</v>
      </c>
      <c r="M61" t="s">
        <v>24</v>
      </c>
    </row>
    <row r="62" spans="1:13" ht="24" customHeight="1" x14ac:dyDescent="0.3">
      <c r="A62" t="s">
        <v>18</v>
      </c>
      <c r="B62">
        <v>13</v>
      </c>
      <c r="C62">
        <v>41</v>
      </c>
      <c r="D62">
        <v>6</v>
      </c>
      <c r="E62">
        <v>346</v>
      </c>
      <c r="F62">
        <v>7</v>
      </c>
      <c r="G62">
        <v>9</v>
      </c>
      <c r="H62">
        <v>292</v>
      </c>
      <c r="I62">
        <v>4</v>
      </c>
      <c r="J62">
        <v>16</v>
      </c>
      <c r="K62">
        <v>1</v>
      </c>
      <c r="L62" s="1">
        <v>42374</v>
      </c>
      <c r="M62" t="s">
        <v>2</v>
      </c>
    </row>
    <row r="63" spans="1:13" ht="24" customHeight="1" x14ac:dyDescent="0.3">
      <c r="A63" t="s">
        <v>18</v>
      </c>
      <c r="B63">
        <v>13</v>
      </c>
      <c r="C63">
        <v>48</v>
      </c>
      <c r="D63">
        <v>8</v>
      </c>
      <c r="E63">
        <v>352</v>
      </c>
      <c r="F63">
        <v>4</v>
      </c>
      <c r="G63">
        <v>22</v>
      </c>
      <c r="H63">
        <v>306</v>
      </c>
      <c r="I63">
        <v>7</v>
      </c>
      <c r="J63">
        <v>17</v>
      </c>
      <c r="K63">
        <v>0</v>
      </c>
      <c r="L63" s="1">
        <v>42448</v>
      </c>
      <c r="M63" t="s">
        <v>24</v>
      </c>
    </row>
    <row r="64" spans="1:13" ht="24" customHeight="1" x14ac:dyDescent="0.3">
      <c r="A64" t="s">
        <v>18</v>
      </c>
      <c r="B64">
        <v>14</v>
      </c>
      <c r="C64">
        <v>24</v>
      </c>
      <c r="D64">
        <v>7</v>
      </c>
      <c r="E64">
        <v>266</v>
      </c>
      <c r="F64">
        <v>3</v>
      </c>
      <c r="G64">
        <v>15</v>
      </c>
      <c r="H64">
        <v>254</v>
      </c>
      <c r="I64">
        <v>6</v>
      </c>
      <c r="J64">
        <v>24</v>
      </c>
      <c r="K64">
        <v>2</v>
      </c>
      <c r="L64" s="1">
        <v>42605</v>
      </c>
      <c r="M64" t="s">
        <v>25</v>
      </c>
    </row>
    <row r="65" spans="1:13" ht="24" customHeight="1" x14ac:dyDescent="0.3">
      <c r="A65" t="s">
        <v>18</v>
      </c>
      <c r="B65">
        <v>13</v>
      </c>
      <c r="C65">
        <v>44</v>
      </c>
      <c r="D65">
        <v>8</v>
      </c>
      <c r="E65">
        <v>282</v>
      </c>
      <c r="F65">
        <v>5</v>
      </c>
      <c r="G65">
        <v>18</v>
      </c>
      <c r="H65">
        <v>287</v>
      </c>
      <c r="I65">
        <v>5</v>
      </c>
      <c r="J65">
        <v>16</v>
      </c>
      <c r="K65">
        <v>1</v>
      </c>
      <c r="L65" s="1">
        <v>42638</v>
      </c>
      <c r="M65" t="s">
        <v>26</v>
      </c>
    </row>
    <row r="66" spans="1:13" ht="24" customHeight="1" x14ac:dyDescent="0.3">
      <c r="A66" t="s">
        <v>18</v>
      </c>
      <c r="B66">
        <v>8</v>
      </c>
      <c r="C66">
        <v>46</v>
      </c>
      <c r="D66">
        <v>11</v>
      </c>
      <c r="E66">
        <v>275</v>
      </c>
      <c r="F66">
        <v>4</v>
      </c>
      <c r="G66">
        <v>18</v>
      </c>
      <c r="H66">
        <v>277</v>
      </c>
      <c r="I66">
        <v>6</v>
      </c>
      <c r="J66">
        <v>14</v>
      </c>
      <c r="L66" s="1">
        <v>42797</v>
      </c>
      <c r="M66" t="s">
        <v>2</v>
      </c>
    </row>
    <row r="67" spans="1:13" ht="24" customHeight="1" x14ac:dyDescent="0.3">
      <c r="A67" t="s">
        <v>18</v>
      </c>
      <c r="B67">
        <v>9</v>
      </c>
      <c r="C67">
        <v>34</v>
      </c>
      <c r="D67">
        <v>5</v>
      </c>
      <c r="E67">
        <v>224</v>
      </c>
      <c r="F67">
        <v>5</v>
      </c>
      <c r="G67">
        <v>6</v>
      </c>
      <c r="H67">
        <v>188</v>
      </c>
      <c r="I67">
        <v>0</v>
      </c>
      <c r="J67">
        <v>13</v>
      </c>
      <c r="K67">
        <v>2</v>
      </c>
      <c r="L67" s="1">
        <v>42978</v>
      </c>
      <c r="M67" t="s">
        <v>26</v>
      </c>
    </row>
    <row r="68" spans="1:13" ht="24" customHeight="1" x14ac:dyDescent="0.3">
      <c r="A68" t="s">
        <v>18</v>
      </c>
      <c r="B68">
        <v>6</v>
      </c>
      <c r="C68">
        <v>24</v>
      </c>
      <c r="D68">
        <v>2</v>
      </c>
      <c r="E68">
        <v>172</v>
      </c>
      <c r="F68">
        <v>0</v>
      </c>
      <c r="G68">
        <v>2</v>
      </c>
      <c r="H68">
        <v>149</v>
      </c>
      <c r="I68">
        <v>1</v>
      </c>
      <c r="J68">
        <v>13</v>
      </c>
      <c r="K68">
        <v>1</v>
      </c>
      <c r="L68" s="1">
        <v>43152</v>
      </c>
      <c r="M68" t="s">
        <v>2</v>
      </c>
    </row>
    <row r="69" spans="1:13" ht="24" customHeight="1" x14ac:dyDescent="0.3">
      <c r="A69" t="s">
        <v>18</v>
      </c>
      <c r="B69">
        <v>10</v>
      </c>
      <c r="C69">
        <v>14</v>
      </c>
      <c r="D69">
        <v>2</v>
      </c>
      <c r="E69">
        <v>119</v>
      </c>
      <c r="F69">
        <v>3</v>
      </c>
      <c r="G69">
        <v>8</v>
      </c>
      <c r="H69">
        <v>131</v>
      </c>
      <c r="I69">
        <v>3</v>
      </c>
      <c r="J69">
        <v>9</v>
      </c>
      <c r="K69">
        <v>0</v>
      </c>
      <c r="L69" s="1">
        <v>43241</v>
      </c>
      <c r="M69" t="s">
        <v>24</v>
      </c>
    </row>
    <row r="70" spans="1:13" ht="24" customHeight="1" x14ac:dyDescent="0.3">
      <c r="A70" t="s">
        <v>18</v>
      </c>
      <c r="B70">
        <v>9</v>
      </c>
      <c r="C70">
        <v>22</v>
      </c>
      <c r="D70">
        <v>2</v>
      </c>
      <c r="E70">
        <v>137</v>
      </c>
      <c r="F70">
        <v>3</v>
      </c>
      <c r="G70">
        <v>3</v>
      </c>
      <c r="H70">
        <v>145</v>
      </c>
      <c r="I70">
        <v>2</v>
      </c>
      <c r="J70">
        <v>15</v>
      </c>
      <c r="K70">
        <v>0</v>
      </c>
      <c r="L70" s="1">
        <v>43241</v>
      </c>
      <c r="M70" t="s">
        <v>24</v>
      </c>
    </row>
    <row r="71" spans="1:13" ht="24" customHeight="1" x14ac:dyDescent="0.3">
      <c r="A71" t="s">
        <v>18</v>
      </c>
      <c r="B71">
        <v>10</v>
      </c>
      <c r="C71">
        <v>14</v>
      </c>
      <c r="D71">
        <v>3</v>
      </c>
      <c r="E71">
        <v>156</v>
      </c>
      <c r="F71">
        <v>1</v>
      </c>
      <c r="G71">
        <v>5</v>
      </c>
      <c r="H71">
        <v>137</v>
      </c>
      <c r="I71">
        <v>4</v>
      </c>
      <c r="J71">
        <v>9</v>
      </c>
      <c r="K71">
        <v>1</v>
      </c>
      <c r="L71" s="1">
        <v>43241</v>
      </c>
      <c r="M71" t="s">
        <v>24</v>
      </c>
    </row>
    <row r="72" spans="1:13" ht="24" customHeight="1" x14ac:dyDescent="0.3">
      <c r="A72" t="s">
        <v>22</v>
      </c>
      <c r="B72">
        <v>0</v>
      </c>
      <c r="C72">
        <v>0</v>
      </c>
      <c r="D72">
        <v>0</v>
      </c>
      <c r="E72">
        <v>5</v>
      </c>
      <c r="F72">
        <v>0</v>
      </c>
      <c r="G72">
        <v>0</v>
      </c>
      <c r="H72">
        <v>7</v>
      </c>
      <c r="I72">
        <v>0</v>
      </c>
      <c r="J72">
        <v>1</v>
      </c>
      <c r="K72">
        <v>0</v>
      </c>
      <c r="L72" s="1">
        <v>42374</v>
      </c>
      <c r="M72" t="s">
        <v>2</v>
      </c>
    </row>
    <row r="73" spans="1:13" ht="24" customHeight="1" x14ac:dyDescent="0.3">
      <c r="A73" t="s">
        <v>22</v>
      </c>
      <c r="B73">
        <v>1</v>
      </c>
      <c r="C73">
        <v>3</v>
      </c>
      <c r="D73">
        <v>0</v>
      </c>
      <c r="E73">
        <v>6</v>
      </c>
      <c r="F73">
        <v>0</v>
      </c>
      <c r="G73">
        <v>0</v>
      </c>
      <c r="H73">
        <v>3</v>
      </c>
      <c r="I73">
        <v>0</v>
      </c>
      <c r="J73">
        <v>0</v>
      </c>
      <c r="K73">
        <v>0</v>
      </c>
      <c r="L73" s="1">
        <v>42452</v>
      </c>
      <c r="M73" t="s">
        <v>24</v>
      </c>
    </row>
    <row r="74" spans="1:13" ht="24" customHeight="1" x14ac:dyDescent="0.3">
      <c r="A74" t="s">
        <v>22</v>
      </c>
      <c r="B74">
        <v>0</v>
      </c>
      <c r="C74">
        <v>0</v>
      </c>
      <c r="D74">
        <v>0</v>
      </c>
      <c r="E74">
        <v>6</v>
      </c>
      <c r="F74">
        <v>0</v>
      </c>
      <c r="G74">
        <v>0</v>
      </c>
      <c r="H74">
        <v>4</v>
      </c>
      <c r="I74">
        <v>0</v>
      </c>
      <c r="J74">
        <v>0</v>
      </c>
      <c r="K74">
        <v>0</v>
      </c>
      <c r="L74" s="1">
        <v>42609</v>
      </c>
      <c r="M74" t="s">
        <v>25</v>
      </c>
    </row>
    <row r="75" spans="1:13" ht="24" customHeight="1" x14ac:dyDescent="0.3">
      <c r="A75" t="s">
        <v>22</v>
      </c>
      <c r="B75">
        <v>0</v>
      </c>
      <c r="C75">
        <v>1</v>
      </c>
      <c r="D75">
        <v>0</v>
      </c>
      <c r="E75">
        <v>6</v>
      </c>
      <c r="F75">
        <v>0</v>
      </c>
      <c r="G75">
        <v>0</v>
      </c>
      <c r="H75">
        <v>7</v>
      </c>
      <c r="I75">
        <v>0</v>
      </c>
      <c r="J75">
        <v>0</v>
      </c>
      <c r="K75">
        <v>0</v>
      </c>
      <c r="L75" s="1">
        <v>42642</v>
      </c>
      <c r="M75" t="s">
        <v>26</v>
      </c>
    </row>
    <row r="76" spans="1:13" ht="24" customHeight="1" x14ac:dyDescent="0.3">
      <c r="A76" t="s">
        <v>22</v>
      </c>
      <c r="B76">
        <v>1</v>
      </c>
      <c r="E76">
        <v>9</v>
      </c>
      <c r="H76">
        <v>3</v>
      </c>
      <c r="L76" s="1">
        <v>42801</v>
      </c>
      <c r="M76" t="s">
        <v>2</v>
      </c>
    </row>
    <row r="77" spans="1:13" ht="24" customHeight="1" x14ac:dyDescent="0.3">
      <c r="A77" t="s">
        <v>22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0</v>
      </c>
      <c r="J77">
        <v>0</v>
      </c>
      <c r="K77">
        <v>0</v>
      </c>
      <c r="L77" s="1">
        <v>42982</v>
      </c>
      <c r="M77" t="s">
        <v>26</v>
      </c>
    </row>
    <row r="78" spans="1:13" ht="24" customHeight="1" x14ac:dyDescent="0.3">
      <c r="A78" t="s">
        <v>22</v>
      </c>
      <c r="B78">
        <v>0</v>
      </c>
      <c r="C78">
        <v>4</v>
      </c>
      <c r="D78">
        <v>0</v>
      </c>
      <c r="E78">
        <v>3</v>
      </c>
      <c r="F78">
        <v>0</v>
      </c>
      <c r="G78">
        <v>0</v>
      </c>
      <c r="H78">
        <v>4</v>
      </c>
      <c r="I78">
        <v>0</v>
      </c>
      <c r="J78">
        <v>1</v>
      </c>
      <c r="K78">
        <v>0</v>
      </c>
      <c r="L78" s="1">
        <v>43156</v>
      </c>
      <c r="M78" t="s">
        <v>2</v>
      </c>
    </row>
    <row r="79" spans="1:13" ht="24" customHeight="1" x14ac:dyDescent="0.3">
      <c r="A79" t="s">
        <v>22</v>
      </c>
      <c r="B79">
        <v>0</v>
      </c>
      <c r="C79">
        <v>0</v>
      </c>
      <c r="D79">
        <v>0</v>
      </c>
      <c r="E79">
        <v>1</v>
      </c>
      <c r="F79">
        <v>0</v>
      </c>
      <c r="G79">
        <v>1</v>
      </c>
      <c r="H79">
        <v>2</v>
      </c>
      <c r="I79">
        <v>0</v>
      </c>
      <c r="J79">
        <v>0</v>
      </c>
      <c r="K79">
        <v>0</v>
      </c>
      <c r="L79" s="1">
        <v>43245</v>
      </c>
      <c r="M79" t="s">
        <v>24</v>
      </c>
    </row>
    <row r="80" spans="1:13" ht="24" customHeight="1" x14ac:dyDescent="0.3">
      <c r="A80" t="s">
        <v>22</v>
      </c>
      <c r="B80">
        <v>0</v>
      </c>
      <c r="C80">
        <v>1</v>
      </c>
      <c r="D80">
        <v>0</v>
      </c>
      <c r="E80">
        <v>5</v>
      </c>
      <c r="F80">
        <v>0</v>
      </c>
      <c r="G80">
        <v>0</v>
      </c>
      <c r="H80">
        <v>7</v>
      </c>
      <c r="I80">
        <v>0</v>
      </c>
      <c r="J80">
        <v>1</v>
      </c>
      <c r="K80">
        <v>0</v>
      </c>
      <c r="L80" s="1">
        <v>43245</v>
      </c>
      <c r="M80" t="s">
        <v>24</v>
      </c>
    </row>
    <row r="81" spans="1:13" ht="24" customHeight="1" x14ac:dyDescent="0.3">
      <c r="A81" t="s">
        <v>22</v>
      </c>
      <c r="B81">
        <v>0</v>
      </c>
      <c r="C81">
        <v>2</v>
      </c>
      <c r="D81">
        <v>1</v>
      </c>
      <c r="E81">
        <v>11</v>
      </c>
      <c r="F81">
        <v>0</v>
      </c>
      <c r="G81">
        <v>0</v>
      </c>
      <c r="H81">
        <v>8</v>
      </c>
      <c r="I81">
        <v>0</v>
      </c>
      <c r="J81">
        <v>0</v>
      </c>
      <c r="K81">
        <v>0</v>
      </c>
      <c r="L81" s="1">
        <v>43245</v>
      </c>
      <c r="M81" t="s">
        <v>24</v>
      </c>
    </row>
    <row r="82" spans="1:13" ht="24" customHeight="1" x14ac:dyDescent="0.3">
      <c r="A82" t="s">
        <v>23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0</v>
      </c>
      <c r="J82">
        <v>0</v>
      </c>
      <c r="K82">
        <v>0</v>
      </c>
      <c r="L82" s="1">
        <v>42374</v>
      </c>
      <c r="M82" t="s">
        <v>2</v>
      </c>
    </row>
    <row r="83" spans="1:13" ht="24" customHeight="1" x14ac:dyDescent="0.3">
      <c r="A83" t="s">
        <v>23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3</v>
      </c>
      <c r="I83">
        <v>1</v>
      </c>
      <c r="J83">
        <v>0</v>
      </c>
      <c r="K83">
        <v>0</v>
      </c>
      <c r="L83" s="1">
        <v>42453</v>
      </c>
      <c r="M83" t="s">
        <v>24</v>
      </c>
    </row>
    <row r="84" spans="1:13" ht="24" customHeight="1" x14ac:dyDescent="0.3">
      <c r="A84" t="s">
        <v>23</v>
      </c>
      <c r="B84">
        <v>0</v>
      </c>
      <c r="C84">
        <v>1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 s="1">
        <v>42610</v>
      </c>
      <c r="M84" t="s">
        <v>25</v>
      </c>
    </row>
    <row r="85" spans="1:13" ht="24" customHeight="1" x14ac:dyDescent="0.3">
      <c r="A85" t="s">
        <v>23</v>
      </c>
      <c r="B85">
        <v>0</v>
      </c>
      <c r="C85">
        <v>0</v>
      </c>
      <c r="D85">
        <v>0</v>
      </c>
      <c r="E85">
        <v>2</v>
      </c>
      <c r="F85">
        <v>0</v>
      </c>
      <c r="G85">
        <v>0</v>
      </c>
      <c r="H85">
        <v>3</v>
      </c>
      <c r="I85">
        <v>0</v>
      </c>
      <c r="J85">
        <v>0</v>
      </c>
      <c r="K85">
        <v>0</v>
      </c>
      <c r="L85" s="1">
        <v>42643</v>
      </c>
      <c r="M85" t="s">
        <v>26</v>
      </c>
    </row>
    <row r="86" spans="1:13" ht="24" customHeight="1" x14ac:dyDescent="0.3">
      <c r="A86" t="s">
        <v>23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">
        <v>43157</v>
      </c>
      <c r="M86" t="s">
        <v>2</v>
      </c>
    </row>
    <row r="87" spans="1:13" ht="24" customHeight="1" x14ac:dyDescent="0.3">
      <c r="A87" t="s">
        <v>23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">
        <v>43246</v>
      </c>
      <c r="M87" t="s">
        <v>24</v>
      </c>
    </row>
    <row r="88" spans="1:13" ht="24" customHeight="1" x14ac:dyDescent="0.3">
      <c r="A88" t="s">
        <v>12</v>
      </c>
      <c r="B88">
        <v>55</v>
      </c>
      <c r="C88">
        <v>244</v>
      </c>
      <c r="D88">
        <v>29</v>
      </c>
      <c r="E88">
        <v>1115</v>
      </c>
      <c r="F88">
        <v>11</v>
      </c>
      <c r="G88">
        <v>23</v>
      </c>
      <c r="H88">
        <v>1005</v>
      </c>
      <c r="I88">
        <v>8</v>
      </c>
      <c r="J88">
        <v>114</v>
      </c>
      <c r="K88">
        <v>20</v>
      </c>
      <c r="L88" s="1">
        <v>42374</v>
      </c>
      <c r="M88" t="s">
        <v>2</v>
      </c>
    </row>
    <row r="89" spans="1:13" ht="24" customHeight="1" x14ac:dyDescent="0.3">
      <c r="A89" t="s">
        <v>12</v>
      </c>
      <c r="B89">
        <v>47</v>
      </c>
      <c r="C89">
        <v>211</v>
      </c>
      <c r="D89">
        <v>25</v>
      </c>
      <c r="E89">
        <v>981</v>
      </c>
      <c r="F89">
        <v>17</v>
      </c>
      <c r="G89">
        <v>17</v>
      </c>
      <c r="H89">
        <v>1030</v>
      </c>
      <c r="I89">
        <v>5</v>
      </c>
      <c r="J89">
        <v>127</v>
      </c>
      <c r="K89">
        <v>21</v>
      </c>
      <c r="L89" s="1">
        <v>42442</v>
      </c>
      <c r="M89" t="s">
        <v>24</v>
      </c>
    </row>
    <row r="90" spans="1:13" ht="24" customHeight="1" x14ac:dyDescent="0.3">
      <c r="A90" t="s">
        <v>12</v>
      </c>
      <c r="B90">
        <v>35</v>
      </c>
      <c r="C90">
        <v>208</v>
      </c>
      <c r="D90">
        <v>23</v>
      </c>
      <c r="E90">
        <v>911</v>
      </c>
      <c r="F90">
        <v>10</v>
      </c>
      <c r="G90">
        <v>17</v>
      </c>
      <c r="H90">
        <v>864</v>
      </c>
      <c r="I90">
        <v>11</v>
      </c>
      <c r="J90">
        <v>108</v>
      </c>
      <c r="K90">
        <v>16</v>
      </c>
      <c r="L90" s="1">
        <v>42599</v>
      </c>
      <c r="M90" t="s">
        <v>25</v>
      </c>
    </row>
    <row r="91" spans="1:13" ht="24" customHeight="1" x14ac:dyDescent="0.3">
      <c r="A91" t="s">
        <v>12</v>
      </c>
      <c r="B91">
        <v>47</v>
      </c>
      <c r="C91">
        <v>214</v>
      </c>
      <c r="D91">
        <v>24</v>
      </c>
      <c r="E91">
        <v>971</v>
      </c>
      <c r="F91">
        <v>12</v>
      </c>
      <c r="G91">
        <v>24</v>
      </c>
      <c r="H91">
        <v>1006</v>
      </c>
      <c r="I91">
        <v>11</v>
      </c>
      <c r="J91">
        <v>121</v>
      </c>
      <c r="K91">
        <v>16</v>
      </c>
      <c r="L91" s="1">
        <v>42632</v>
      </c>
      <c r="M91" t="s">
        <v>26</v>
      </c>
    </row>
    <row r="92" spans="1:13" ht="24" customHeight="1" x14ac:dyDescent="0.3">
      <c r="A92" t="s">
        <v>12</v>
      </c>
      <c r="B92">
        <v>48</v>
      </c>
      <c r="C92">
        <v>226</v>
      </c>
      <c r="D92">
        <v>38</v>
      </c>
      <c r="E92">
        <v>982</v>
      </c>
      <c r="F92">
        <v>8</v>
      </c>
      <c r="G92">
        <v>26</v>
      </c>
      <c r="H92">
        <v>970</v>
      </c>
      <c r="I92">
        <v>14</v>
      </c>
      <c r="J92">
        <v>103</v>
      </c>
      <c r="K92">
        <v>21</v>
      </c>
      <c r="L92" s="1">
        <v>42791</v>
      </c>
      <c r="M92" t="s">
        <v>2</v>
      </c>
    </row>
    <row r="93" spans="1:13" ht="24" customHeight="1" x14ac:dyDescent="0.3">
      <c r="A93" t="s">
        <v>12</v>
      </c>
      <c r="B93">
        <v>35</v>
      </c>
      <c r="C93">
        <v>173</v>
      </c>
      <c r="D93">
        <v>17</v>
      </c>
      <c r="E93">
        <v>776</v>
      </c>
      <c r="F93">
        <v>8</v>
      </c>
      <c r="G93">
        <v>24</v>
      </c>
      <c r="H93">
        <v>849</v>
      </c>
      <c r="I93">
        <v>7</v>
      </c>
      <c r="J93">
        <v>81</v>
      </c>
      <c r="K93">
        <v>5</v>
      </c>
      <c r="L93" s="1">
        <v>42972</v>
      </c>
      <c r="M93" t="s">
        <v>26</v>
      </c>
    </row>
    <row r="94" spans="1:13" ht="24" customHeight="1" x14ac:dyDescent="0.3">
      <c r="A94" t="s">
        <v>12</v>
      </c>
      <c r="B94">
        <v>47</v>
      </c>
      <c r="C94">
        <v>206</v>
      </c>
      <c r="D94">
        <v>23</v>
      </c>
      <c r="E94">
        <v>824</v>
      </c>
      <c r="F94">
        <v>5</v>
      </c>
      <c r="G94">
        <v>17</v>
      </c>
      <c r="H94">
        <v>857</v>
      </c>
      <c r="I94">
        <v>8</v>
      </c>
      <c r="J94">
        <v>75</v>
      </c>
      <c r="K94">
        <v>6</v>
      </c>
      <c r="L94" s="1">
        <v>43146</v>
      </c>
      <c r="M94" t="s">
        <v>2</v>
      </c>
    </row>
    <row r="95" spans="1:13" ht="24" customHeight="1" x14ac:dyDescent="0.3">
      <c r="A95" t="s">
        <v>12</v>
      </c>
      <c r="B95">
        <v>41</v>
      </c>
      <c r="C95">
        <v>147</v>
      </c>
      <c r="D95">
        <v>11</v>
      </c>
      <c r="E95">
        <v>674</v>
      </c>
      <c r="F95">
        <v>17</v>
      </c>
      <c r="G95">
        <v>10</v>
      </c>
      <c r="H95">
        <v>712</v>
      </c>
      <c r="I95">
        <v>6</v>
      </c>
      <c r="J95">
        <v>90</v>
      </c>
      <c r="K95">
        <v>3</v>
      </c>
      <c r="L95" s="1">
        <v>43235</v>
      </c>
      <c r="M95" t="s">
        <v>24</v>
      </c>
    </row>
    <row r="96" spans="1:13" ht="24" customHeight="1" x14ac:dyDescent="0.3">
      <c r="A96" t="s">
        <v>12</v>
      </c>
      <c r="B96">
        <v>36</v>
      </c>
      <c r="C96">
        <v>136</v>
      </c>
      <c r="D96">
        <v>18</v>
      </c>
      <c r="E96">
        <v>667</v>
      </c>
      <c r="F96">
        <v>6</v>
      </c>
      <c r="G96">
        <v>12</v>
      </c>
      <c r="H96">
        <v>741</v>
      </c>
      <c r="I96">
        <v>4</v>
      </c>
      <c r="J96">
        <v>80</v>
      </c>
      <c r="K96">
        <v>10</v>
      </c>
      <c r="L96" s="1">
        <v>43235</v>
      </c>
      <c r="M96" t="s">
        <v>24</v>
      </c>
    </row>
    <row r="97" spans="1:13" ht="24" customHeight="1" x14ac:dyDescent="0.3">
      <c r="A97" t="s">
        <v>12</v>
      </c>
      <c r="B97">
        <v>28</v>
      </c>
      <c r="C97">
        <v>124</v>
      </c>
      <c r="D97">
        <v>15</v>
      </c>
      <c r="E97">
        <v>633</v>
      </c>
      <c r="F97">
        <v>6</v>
      </c>
      <c r="G97">
        <v>11</v>
      </c>
      <c r="H97">
        <v>682</v>
      </c>
      <c r="I97">
        <v>6</v>
      </c>
      <c r="J97">
        <v>59</v>
      </c>
      <c r="K97">
        <v>9</v>
      </c>
      <c r="L97" s="1">
        <v>43235</v>
      </c>
      <c r="M97" t="s">
        <v>24</v>
      </c>
    </row>
    <row r="98" spans="1:13" ht="24" customHeight="1" x14ac:dyDescent="0.3">
      <c r="A98" t="s">
        <v>16</v>
      </c>
      <c r="B98">
        <v>1</v>
      </c>
      <c r="C98">
        <v>1</v>
      </c>
      <c r="D98">
        <v>0</v>
      </c>
      <c r="E98">
        <v>27</v>
      </c>
      <c r="F98">
        <v>0</v>
      </c>
      <c r="G98">
        <v>1</v>
      </c>
      <c r="H98">
        <v>21</v>
      </c>
      <c r="I98">
        <v>0</v>
      </c>
      <c r="J98">
        <v>1</v>
      </c>
      <c r="K98">
        <v>0</v>
      </c>
      <c r="L98" s="1">
        <v>42374</v>
      </c>
      <c r="M98" t="s">
        <v>2</v>
      </c>
    </row>
    <row r="99" spans="1:13" ht="24" customHeight="1" x14ac:dyDescent="0.3">
      <c r="A99" t="s">
        <v>16</v>
      </c>
      <c r="B99">
        <v>0</v>
      </c>
      <c r="C99">
        <v>7</v>
      </c>
      <c r="D99">
        <v>0</v>
      </c>
      <c r="E99">
        <v>42</v>
      </c>
      <c r="F99">
        <v>0</v>
      </c>
      <c r="G99">
        <v>1</v>
      </c>
      <c r="H99">
        <v>42</v>
      </c>
      <c r="I99">
        <v>1</v>
      </c>
      <c r="J99">
        <v>1</v>
      </c>
      <c r="K99">
        <v>1</v>
      </c>
      <c r="L99" s="1">
        <v>42446</v>
      </c>
      <c r="M99" t="s">
        <v>24</v>
      </c>
    </row>
    <row r="100" spans="1:13" ht="24" customHeight="1" x14ac:dyDescent="0.3">
      <c r="A100" t="s">
        <v>16</v>
      </c>
      <c r="B100">
        <v>0</v>
      </c>
      <c r="C100">
        <v>2</v>
      </c>
      <c r="D100">
        <v>1</v>
      </c>
      <c r="E100">
        <v>21</v>
      </c>
      <c r="F100">
        <v>0</v>
      </c>
      <c r="G100">
        <v>1</v>
      </c>
      <c r="H100">
        <v>25</v>
      </c>
      <c r="I100">
        <v>0</v>
      </c>
      <c r="J100">
        <v>2</v>
      </c>
      <c r="K100">
        <v>0</v>
      </c>
      <c r="L100" s="1">
        <v>42603</v>
      </c>
      <c r="M100" t="s">
        <v>25</v>
      </c>
    </row>
    <row r="101" spans="1:13" ht="24" customHeight="1" x14ac:dyDescent="0.3">
      <c r="A101" t="s">
        <v>16</v>
      </c>
      <c r="B101">
        <v>1</v>
      </c>
      <c r="C101">
        <v>2</v>
      </c>
      <c r="D101">
        <v>0</v>
      </c>
      <c r="E101">
        <v>28</v>
      </c>
      <c r="F101">
        <v>0</v>
      </c>
      <c r="G101">
        <v>0</v>
      </c>
      <c r="H101">
        <v>19</v>
      </c>
      <c r="I101">
        <v>0</v>
      </c>
      <c r="J101">
        <v>4</v>
      </c>
      <c r="K101">
        <v>0</v>
      </c>
      <c r="L101" s="1">
        <v>42636</v>
      </c>
      <c r="M101" t="s">
        <v>26</v>
      </c>
    </row>
    <row r="102" spans="1:13" ht="24" customHeight="1" x14ac:dyDescent="0.3">
      <c r="A102" t="s">
        <v>16</v>
      </c>
      <c r="B102">
        <v>1</v>
      </c>
      <c r="C102">
        <v>8</v>
      </c>
      <c r="E102">
        <v>31</v>
      </c>
      <c r="G102">
        <v>2</v>
      </c>
      <c r="H102">
        <v>24</v>
      </c>
      <c r="I102">
        <v>1</v>
      </c>
      <c r="J102">
        <v>3</v>
      </c>
      <c r="L102" s="1">
        <v>42795</v>
      </c>
      <c r="M102" t="s">
        <v>2</v>
      </c>
    </row>
    <row r="103" spans="1:13" ht="24" customHeight="1" x14ac:dyDescent="0.3">
      <c r="A103" t="s">
        <v>16</v>
      </c>
      <c r="B103">
        <v>1</v>
      </c>
      <c r="C103">
        <v>1</v>
      </c>
      <c r="D103">
        <v>0</v>
      </c>
      <c r="E103">
        <v>10</v>
      </c>
      <c r="F103">
        <v>1</v>
      </c>
      <c r="G103">
        <v>0</v>
      </c>
      <c r="H103">
        <v>9</v>
      </c>
      <c r="I103">
        <v>0</v>
      </c>
      <c r="J103">
        <v>0</v>
      </c>
      <c r="K103">
        <v>0</v>
      </c>
      <c r="L103" s="1">
        <v>42976</v>
      </c>
      <c r="M103" t="s">
        <v>26</v>
      </c>
    </row>
    <row r="104" spans="1:13" ht="24" customHeight="1" x14ac:dyDescent="0.3">
      <c r="A104" t="s">
        <v>16</v>
      </c>
      <c r="B104">
        <v>0</v>
      </c>
      <c r="C104">
        <v>0</v>
      </c>
      <c r="D104">
        <v>0</v>
      </c>
      <c r="E104">
        <v>13</v>
      </c>
      <c r="F104">
        <v>0</v>
      </c>
      <c r="G104">
        <v>0</v>
      </c>
      <c r="H104">
        <v>18</v>
      </c>
      <c r="I104">
        <v>0</v>
      </c>
      <c r="J104">
        <v>3</v>
      </c>
      <c r="K104">
        <v>0</v>
      </c>
      <c r="L104" s="1">
        <v>43150</v>
      </c>
      <c r="M104" t="s">
        <v>2</v>
      </c>
    </row>
    <row r="105" spans="1:13" ht="24" customHeight="1" x14ac:dyDescent="0.3">
      <c r="A105" t="s">
        <v>16</v>
      </c>
      <c r="B105">
        <v>0</v>
      </c>
      <c r="C105">
        <v>3</v>
      </c>
      <c r="D105">
        <v>0</v>
      </c>
      <c r="E105">
        <v>4</v>
      </c>
      <c r="F105">
        <v>0</v>
      </c>
      <c r="G105">
        <v>0</v>
      </c>
      <c r="H105">
        <v>10</v>
      </c>
      <c r="I105">
        <v>0</v>
      </c>
      <c r="J105">
        <v>1</v>
      </c>
      <c r="K105">
        <v>0</v>
      </c>
      <c r="L105" s="1">
        <v>43239</v>
      </c>
      <c r="M105" t="s">
        <v>24</v>
      </c>
    </row>
    <row r="106" spans="1:13" ht="24" customHeight="1" x14ac:dyDescent="0.3">
      <c r="A106" t="s">
        <v>16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7</v>
      </c>
      <c r="I106">
        <v>0</v>
      </c>
      <c r="J106">
        <v>0</v>
      </c>
      <c r="K106">
        <v>0</v>
      </c>
      <c r="L106" s="1">
        <v>43239</v>
      </c>
      <c r="M106" t="s">
        <v>24</v>
      </c>
    </row>
    <row r="107" spans="1:13" ht="24" customHeight="1" x14ac:dyDescent="0.3">
      <c r="A107" t="s">
        <v>16</v>
      </c>
      <c r="B107">
        <v>0</v>
      </c>
      <c r="C107">
        <v>0</v>
      </c>
      <c r="D107">
        <v>1</v>
      </c>
      <c r="E107">
        <v>14</v>
      </c>
      <c r="F107">
        <v>2</v>
      </c>
      <c r="G107">
        <v>0</v>
      </c>
      <c r="H107">
        <v>19</v>
      </c>
      <c r="I107">
        <v>0</v>
      </c>
      <c r="J107">
        <v>2</v>
      </c>
      <c r="K107">
        <v>0</v>
      </c>
      <c r="L107" s="1">
        <v>43239</v>
      </c>
      <c r="M107" t="s">
        <v>24</v>
      </c>
    </row>
    <row r="108" spans="1:13" ht="24" customHeight="1" x14ac:dyDescent="0.3">
      <c r="A108" t="s">
        <v>4</v>
      </c>
      <c r="B108">
        <v>1</v>
      </c>
      <c r="C108">
        <v>2</v>
      </c>
      <c r="D108">
        <v>0</v>
      </c>
      <c r="E108">
        <v>12</v>
      </c>
      <c r="F108">
        <v>0</v>
      </c>
      <c r="G108">
        <v>1</v>
      </c>
      <c r="H108">
        <v>18</v>
      </c>
      <c r="I108">
        <v>0</v>
      </c>
      <c r="J108">
        <v>3</v>
      </c>
      <c r="K108">
        <v>0</v>
      </c>
      <c r="L108" s="1">
        <v>42374</v>
      </c>
      <c r="M108" t="s">
        <v>2</v>
      </c>
    </row>
    <row r="109" spans="1:13" ht="24" customHeight="1" x14ac:dyDescent="0.3">
      <c r="A109" t="s">
        <v>4</v>
      </c>
      <c r="B109">
        <v>2</v>
      </c>
      <c r="C109">
        <v>1</v>
      </c>
      <c r="D109">
        <v>1</v>
      </c>
      <c r="E109">
        <v>4</v>
      </c>
      <c r="F109">
        <v>0</v>
      </c>
      <c r="G109">
        <v>0</v>
      </c>
      <c r="H109">
        <v>7</v>
      </c>
      <c r="I109">
        <v>2</v>
      </c>
      <c r="J109">
        <v>1</v>
      </c>
      <c r="K109">
        <v>0</v>
      </c>
      <c r="L109" s="1">
        <v>42434</v>
      </c>
      <c r="M109" t="s">
        <v>24</v>
      </c>
    </row>
    <row r="110" spans="1:13" ht="24" customHeight="1" x14ac:dyDescent="0.3">
      <c r="A110" t="s">
        <v>4</v>
      </c>
      <c r="B110">
        <v>0</v>
      </c>
      <c r="C110">
        <v>0</v>
      </c>
      <c r="D110">
        <v>1</v>
      </c>
      <c r="E110">
        <v>5</v>
      </c>
      <c r="F110">
        <v>0</v>
      </c>
      <c r="G110">
        <v>0</v>
      </c>
      <c r="H110">
        <v>2</v>
      </c>
      <c r="I110">
        <v>0</v>
      </c>
      <c r="J110">
        <v>2</v>
      </c>
      <c r="K110">
        <v>0</v>
      </c>
      <c r="L110" s="1">
        <v>42591</v>
      </c>
      <c r="M110" t="s">
        <v>25</v>
      </c>
    </row>
    <row r="111" spans="1:13" ht="24" customHeight="1" x14ac:dyDescent="0.3">
      <c r="A111" t="s">
        <v>4</v>
      </c>
      <c r="B111">
        <v>0</v>
      </c>
      <c r="C111">
        <v>1</v>
      </c>
      <c r="D111">
        <v>0</v>
      </c>
      <c r="E111">
        <v>5</v>
      </c>
      <c r="F111">
        <v>0</v>
      </c>
      <c r="G111">
        <v>1</v>
      </c>
      <c r="H111">
        <v>4</v>
      </c>
      <c r="I111">
        <v>4</v>
      </c>
      <c r="J111">
        <v>0</v>
      </c>
      <c r="K111">
        <v>0</v>
      </c>
      <c r="L111" s="1">
        <v>42624</v>
      </c>
      <c r="M111" t="s">
        <v>26</v>
      </c>
    </row>
    <row r="112" spans="1:13" ht="24" customHeight="1" x14ac:dyDescent="0.3">
      <c r="A112" t="s">
        <v>4</v>
      </c>
      <c r="C112">
        <v>5</v>
      </c>
      <c r="E112">
        <v>14</v>
      </c>
      <c r="G112">
        <v>0</v>
      </c>
      <c r="H112">
        <v>13</v>
      </c>
      <c r="I112">
        <v>1</v>
      </c>
      <c r="J112">
        <v>3</v>
      </c>
      <c r="L112" s="1">
        <v>42783</v>
      </c>
      <c r="M112" t="s">
        <v>2</v>
      </c>
    </row>
    <row r="113" spans="1:13" ht="24" customHeight="1" x14ac:dyDescent="0.3">
      <c r="A113" t="s">
        <v>4</v>
      </c>
      <c r="B113">
        <v>0</v>
      </c>
      <c r="C113">
        <v>1</v>
      </c>
      <c r="D113">
        <v>0</v>
      </c>
      <c r="E113">
        <v>13</v>
      </c>
      <c r="F113">
        <v>0</v>
      </c>
      <c r="G113">
        <v>1</v>
      </c>
      <c r="H113">
        <v>18</v>
      </c>
      <c r="I113">
        <v>4</v>
      </c>
      <c r="J113">
        <v>0</v>
      </c>
      <c r="K113">
        <v>0</v>
      </c>
      <c r="L113" s="1">
        <v>42964</v>
      </c>
      <c r="M113" t="s">
        <v>26</v>
      </c>
    </row>
    <row r="114" spans="1:13" ht="24" customHeight="1" x14ac:dyDescent="0.3">
      <c r="A114" t="s">
        <v>4</v>
      </c>
      <c r="B114">
        <v>1</v>
      </c>
      <c r="C114">
        <v>2</v>
      </c>
      <c r="D114">
        <v>0</v>
      </c>
      <c r="E114">
        <v>18</v>
      </c>
      <c r="F114">
        <v>1</v>
      </c>
      <c r="G114">
        <v>1</v>
      </c>
      <c r="H114">
        <v>20</v>
      </c>
      <c r="I114">
        <v>4</v>
      </c>
      <c r="J114">
        <v>0</v>
      </c>
      <c r="K114">
        <v>0</v>
      </c>
      <c r="L114" s="1">
        <v>43138</v>
      </c>
      <c r="M114" t="s">
        <v>2</v>
      </c>
    </row>
    <row r="115" spans="1:13" ht="24" customHeight="1" x14ac:dyDescent="0.3">
      <c r="A115" t="s">
        <v>4</v>
      </c>
      <c r="B115">
        <v>0</v>
      </c>
      <c r="C115">
        <v>2</v>
      </c>
      <c r="D115">
        <v>0</v>
      </c>
      <c r="E115">
        <v>12</v>
      </c>
      <c r="F115">
        <v>0</v>
      </c>
      <c r="G115">
        <v>0</v>
      </c>
      <c r="H115">
        <v>16</v>
      </c>
      <c r="I115">
        <v>3</v>
      </c>
      <c r="J115">
        <v>0</v>
      </c>
      <c r="K115">
        <v>0</v>
      </c>
      <c r="L115" s="1">
        <v>43227</v>
      </c>
      <c r="M115" t="s">
        <v>24</v>
      </c>
    </row>
    <row r="116" spans="1:13" ht="24" customHeight="1" x14ac:dyDescent="0.3">
      <c r="A116" t="s">
        <v>4</v>
      </c>
      <c r="B116">
        <v>0</v>
      </c>
      <c r="C116">
        <v>1</v>
      </c>
      <c r="D116">
        <v>2</v>
      </c>
      <c r="E116">
        <v>9</v>
      </c>
      <c r="F116">
        <v>0</v>
      </c>
      <c r="G116">
        <v>0</v>
      </c>
      <c r="H116">
        <v>8</v>
      </c>
      <c r="I116">
        <v>3</v>
      </c>
      <c r="J116">
        <v>1</v>
      </c>
      <c r="K116">
        <v>0</v>
      </c>
      <c r="L116" s="1">
        <v>43227</v>
      </c>
      <c r="M116" t="s">
        <v>24</v>
      </c>
    </row>
    <row r="117" spans="1:13" ht="24" customHeight="1" x14ac:dyDescent="0.3">
      <c r="A117" t="s">
        <v>4</v>
      </c>
      <c r="B117">
        <v>1</v>
      </c>
      <c r="C117">
        <v>1</v>
      </c>
      <c r="D117">
        <v>0</v>
      </c>
      <c r="E117">
        <v>8</v>
      </c>
      <c r="F117">
        <v>0</v>
      </c>
      <c r="G117">
        <v>0</v>
      </c>
      <c r="H117">
        <v>12</v>
      </c>
      <c r="I117">
        <v>0</v>
      </c>
      <c r="J117">
        <v>1</v>
      </c>
      <c r="K117">
        <v>0</v>
      </c>
      <c r="L117" s="1">
        <v>43227</v>
      </c>
      <c r="M117" t="s">
        <v>24</v>
      </c>
    </row>
    <row r="118" spans="1:13" ht="24" customHeight="1" x14ac:dyDescent="0.3">
      <c r="A118" t="s">
        <v>19</v>
      </c>
      <c r="B118">
        <v>2</v>
      </c>
      <c r="C118">
        <v>10</v>
      </c>
      <c r="D118">
        <v>0</v>
      </c>
      <c r="E118">
        <v>124</v>
      </c>
      <c r="F118">
        <v>1</v>
      </c>
      <c r="G118">
        <v>0</v>
      </c>
      <c r="H118">
        <v>90</v>
      </c>
      <c r="I118">
        <v>2</v>
      </c>
      <c r="J118">
        <v>4</v>
      </c>
      <c r="K118">
        <v>1</v>
      </c>
      <c r="L118" s="1">
        <v>42374</v>
      </c>
      <c r="M118" t="s">
        <v>2</v>
      </c>
    </row>
    <row r="119" spans="1:13" ht="24" customHeight="1" x14ac:dyDescent="0.3">
      <c r="A119" t="s">
        <v>19</v>
      </c>
      <c r="B119">
        <v>3</v>
      </c>
      <c r="C119">
        <v>9</v>
      </c>
      <c r="D119">
        <v>0</v>
      </c>
      <c r="E119">
        <v>75</v>
      </c>
      <c r="F119">
        <v>0</v>
      </c>
      <c r="G119">
        <v>1</v>
      </c>
      <c r="H119">
        <v>74</v>
      </c>
      <c r="I119">
        <v>0</v>
      </c>
      <c r="J119">
        <v>2</v>
      </c>
      <c r="K119">
        <v>0</v>
      </c>
      <c r="L119" s="1">
        <v>42449</v>
      </c>
      <c r="M119" t="s">
        <v>24</v>
      </c>
    </row>
    <row r="120" spans="1:13" ht="24" customHeight="1" x14ac:dyDescent="0.3">
      <c r="A120" t="s">
        <v>19</v>
      </c>
      <c r="B120">
        <v>2</v>
      </c>
      <c r="C120">
        <v>6</v>
      </c>
      <c r="D120">
        <v>1</v>
      </c>
      <c r="E120">
        <v>55</v>
      </c>
      <c r="F120">
        <v>0</v>
      </c>
      <c r="G120">
        <v>0</v>
      </c>
      <c r="H120">
        <v>61</v>
      </c>
      <c r="I120">
        <v>0</v>
      </c>
      <c r="J120">
        <v>0</v>
      </c>
      <c r="K120">
        <v>0</v>
      </c>
      <c r="L120" s="1">
        <v>42606</v>
      </c>
      <c r="M120" t="s">
        <v>25</v>
      </c>
    </row>
    <row r="121" spans="1:13" ht="24" customHeight="1" x14ac:dyDescent="0.3">
      <c r="A121" t="s">
        <v>19</v>
      </c>
      <c r="B121">
        <v>4</v>
      </c>
      <c r="C121">
        <v>11</v>
      </c>
      <c r="D121">
        <v>1</v>
      </c>
      <c r="E121">
        <v>114</v>
      </c>
      <c r="F121">
        <v>0</v>
      </c>
      <c r="G121">
        <v>1</v>
      </c>
      <c r="H121">
        <v>108</v>
      </c>
      <c r="I121">
        <v>2</v>
      </c>
      <c r="J121">
        <v>2</v>
      </c>
      <c r="K121">
        <v>0</v>
      </c>
      <c r="L121" s="1">
        <v>42639</v>
      </c>
      <c r="M121" t="s">
        <v>26</v>
      </c>
    </row>
    <row r="122" spans="1:13" ht="24" customHeight="1" x14ac:dyDescent="0.3">
      <c r="A122" t="s">
        <v>19</v>
      </c>
      <c r="B122">
        <v>3</v>
      </c>
      <c r="C122">
        <v>14</v>
      </c>
      <c r="D122">
        <v>3</v>
      </c>
      <c r="E122">
        <v>122</v>
      </c>
      <c r="G122">
        <v>2</v>
      </c>
      <c r="H122">
        <v>114</v>
      </c>
      <c r="J122">
        <v>4</v>
      </c>
      <c r="L122" s="1">
        <v>42798</v>
      </c>
      <c r="M122" t="s">
        <v>2</v>
      </c>
    </row>
    <row r="123" spans="1:13" ht="24" customHeight="1" x14ac:dyDescent="0.3">
      <c r="A123" t="s">
        <v>19</v>
      </c>
      <c r="B123">
        <v>3</v>
      </c>
      <c r="C123">
        <v>10</v>
      </c>
      <c r="D123">
        <v>0</v>
      </c>
      <c r="E123">
        <v>108</v>
      </c>
      <c r="F123">
        <v>0</v>
      </c>
      <c r="G123">
        <v>0</v>
      </c>
      <c r="H123">
        <v>111</v>
      </c>
      <c r="I123">
        <v>1</v>
      </c>
      <c r="J123">
        <v>1</v>
      </c>
      <c r="K123">
        <v>0</v>
      </c>
      <c r="L123" s="1">
        <v>42979</v>
      </c>
      <c r="M123" t="s">
        <v>26</v>
      </c>
    </row>
    <row r="124" spans="1:13" ht="24" customHeight="1" x14ac:dyDescent="0.3">
      <c r="A124" t="s">
        <v>19</v>
      </c>
      <c r="B124">
        <v>6</v>
      </c>
      <c r="C124">
        <v>17</v>
      </c>
      <c r="D124">
        <v>0</v>
      </c>
      <c r="E124">
        <v>100</v>
      </c>
      <c r="F124">
        <v>0</v>
      </c>
      <c r="G124">
        <v>1</v>
      </c>
      <c r="H124">
        <v>94</v>
      </c>
      <c r="I124">
        <v>1</v>
      </c>
      <c r="J124">
        <v>1</v>
      </c>
      <c r="K124">
        <v>0</v>
      </c>
      <c r="L124" s="1">
        <v>43153</v>
      </c>
      <c r="M124" t="s">
        <v>2</v>
      </c>
    </row>
    <row r="125" spans="1:13" ht="24" customHeight="1" x14ac:dyDescent="0.3">
      <c r="A125" t="s">
        <v>19</v>
      </c>
      <c r="B125">
        <v>1</v>
      </c>
      <c r="C125">
        <v>11</v>
      </c>
      <c r="D125">
        <v>0</v>
      </c>
      <c r="E125">
        <v>103</v>
      </c>
      <c r="F125">
        <v>1</v>
      </c>
      <c r="G125">
        <v>1</v>
      </c>
      <c r="H125">
        <v>90</v>
      </c>
      <c r="I125">
        <v>0</v>
      </c>
      <c r="J125">
        <v>0</v>
      </c>
      <c r="K125">
        <v>1</v>
      </c>
      <c r="L125" s="1">
        <v>43242</v>
      </c>
      <c r="M125" t="s">
        <v>24</v>
      </c>
    </row>
    <row r="126" spans="1:13" ht="24" customHeight="1" x14ac:dyDescent="0.3">
      <c r="A126" t="s">
        <v>19</v>
      </c>
      <c r="B126">
        <v>0</v>
      </c>
      <c r="C126">
        <v>8</v>
      </c>
      <c r="D126">
        <v>2</v>
      </c>
      <c r="E126">
        <v>69</v>
      </c>
      <c r="F126">
        <v>0</v>
      </c>
      <c r="G126">
        <v>0</v>
      </c>
      <c r="H126">
        <v>64</v>
      </c>
      <c r="I126">
        <v>0</v>
      </c>
      <c r="J126">
        <v>0</v>
      </c>
      <c r="K126">
        <v>0</v>
      </c>
      <c r="L126" s="1">
        <v>43242</v>
      </c>
      <c r="M126" t="s">
        <v>24</v>
      </c>
    </row>
    <row r="127" spans="1:13" ht="24" customHeight="1" x14ac:dyDescent="0.3">
      <c r="A127" t="s">
        <v>19</v>
      </c>
      <c r="B127">
        <v>2</v>
      </c>
      <c r="C127">
        <v>1</v>
      </c>
      <c r="D127">
        <v>1</v>
      </c>
      <c r="E127">
        <v>47</v>
      </c>
      <c r="F127">
        <v>1</v>
      </c>
      <c r="G127">
        <v>2</v>
      </c>
      <c r="H127">
        <v>52</v>
      </c>
      <c r="I127">
        <v>0</v>
      </c>
      <c r="J127">
        <v>0</v>
      </c>
      <c r="K127">
        <v>0</v>
      </c>
      <c r="L127" s="1">
        <v>43242</v>
      </c>
      <c r="M127" t="s">
        <v>24</v>
      </c>
    </row>
    <row r="128" spans="1:13" ht="24" customHeight="1" x14ac:dyDescent="0.3">
      <c r="A128" t="s">
        <v>15</v>
      </c>
      <c r="B128">
        <v>8</v>
      </c>
      <c r="C128">
        <v>46</v>
      </c>
      <c r="D128">
        <v>7</v>
      </c>
      <c r="E128">
        <v>236</v>
      </c>
      <c r="F128">
        <v>1</v>
      </c>
      <c r="G128">
        <v>2</v>
      </c>
      <c r="H128">
        <v>224</v>
      </c>
      <c r="I128">
        <v>2</v>
      </c>
      <c r="J128">
        <v>12</v>
      </c>
      <c r="K128">
        <v>0</v>
      </c>
      <c r="L128" s="1">
        <v>42374</v>
      </c>
      <c r="M128" t="s">
        <v>2</v>
      </c>
    </row>
    <row r="129" spans="1:13" ht="24" customHeight="1" x14ac:dyDescent="0.3">
      <c r="A129" t="s">
        <v>15</v>
      </c>
      <c r="B129">
        <v>9</v>
      </c>
      <c r="C129">
        <v>52</v>
      </c>
      <c r="D129">
        <v>4</v>
      </c>
      <c r="E129">
        <v>301</v>
      </c>
      <c r="F129">
        <v>3</v>
      </c>
      <c r="G129">
        <v>0</v>
      </c>
      <c r="H129">
        <v>237</v>
      </c>
      <c r="I129">
        <v>1</v>
      </c>
      <c r="J129">
        <v>18</v>
      </c>
      <c r="K129">
        <v>0</v>
      </c>
      <c r="L129" s="1">
        <v>42445</v>
      </c>
      <c r="M129" t="s">
        <v>24</v>
      </c>
    </row>
    <row r="130" spans="1:13" ht="24" customHeight="1" x14ac:dyDescent="0.3">
      <c r="A130" t="s">
        <v>15</v>
      </c>
      <c r="B130">
        <v>4</v>
      </c>
      <c r="C130">
        <v>40</v>
      </c>
      <c r="D130">
        <v>6</v>
      </c>
      <c r="E130">
        <v>239</v>
      </c>
      <c r="F130">
        <v>0</v>
      </c>
      <c r="G130">
        <v>3</v>
      </c>
      <c r="H130">
        <v>198</v>
      </c>
      <c r="I130">
        <v>1</v>
      </c>
      <c r="J130">
        <v>12</v>
      </c>
      <c r="K130">
        <v>2</v>
      </c>
      <c r="L130" s="1">
        <v>42602</v>
      </c>
      <c r="M130" t="s">
        <v>25</v>
      </c>
    </row>
    <row r="131" spans="1:13" ht="24" customHeight="1" x14ac:dyDescent="0.3">
      <c r="A131" t="s">
        <v>15</v>
      </c>
      <c r="B131">
        <v>14</v>
      </c>
      <c r="C131">
        <v>31</v>
      </c>
      <c r="D131">
        <v>1</v>
      </c>
      <c r="E131">
        <v>219</v>
      </c>
      <c r="F131">
        <v>2</v>
      </c>
      <c r="G131">
        <v>2</v>
      </c>
      <c r="H131">
        <v>201</v>
      </c>
      <c r="I131">
        <v>2</v>
      </c>
      <c r="J131">
        <v>10</v>
      </c>
      <c r="K131">
        <v>0</v>
      </c>
      <c r="L131" s="1">
        <v>42635</v>
      </c>
      <c r="M131" t="s">
        <v>26</v>
      </c>
    </row>
    <row r="132" spans="1:13" ht="24" customHeight="1" x14ac:dyDescent="0.3">
      <c r="A132" t="s">
        <v>15</v>
      </c>
      <c r="B132">
        <v>12</v>
      </c>
      <c r="C132">
        <v>41</v>
      </c>
      <c r="D132">
        <v>4</v>
      </c>
      <c r="E132">
        <v>242</v>
      </c>
      <c r="F132">
        <v>1</v>
      </c>
      <c r="G132">
        <v>1</v>
      </c>
      <c r="H132">
        <v>172</v>
      </c>
      <c r="I132">
        <v>3</v>
      </c>
      <c r="J132">
        <v>19</v>
      </c>
      <c r="L132" s="1">
        <v>42794</v>
      </c>
      <c r="M132" t="s">
        <v>2</v>
      </c>
    </row>
    <row r="133" spans="1:13" ht="24" customHeight="1" x14ac:dyDescent="0.3">
      <c r="A133" t="s">
        <v>15</v>
      </c>
      <c r="B133">
        <v>11</v>
      </c>
      <c r="C133">
        <v>31</v>
      </c>
      <c r="D133">
        <v>1</v>
      </c>
      <c r="E133">
        <v>193</v>
      </c>
      <c r="F133">
        <v>2</v>
      </c>
      <c r="G133">
        <v>2</v>
      </c>
      <c r="H133">
        <v>174</v>
      </c>
      <c r="I133">
        <v>1</v>
      </c>
      <c r="J133">
        <v>9</v>
      </c>
      <c r="K133">
        <v>0</v>
      </c>
      <c r="L133" s="1">
        <v>42975</v>
      </c>
      <c r="M133" t="s">
        <v>26</v>
      </c>
    </row>
    <row r="134" spans="1:13" ht="24" customHeight="1" x14ac:dyDescent="0.3">
      <c r="A134" t="s">
        <v>15</v>
      </c>
      <c r="B134">
        <v>5</v>
      </c>
      <c r="C134">
        <v>37</v>
      </c>
      <c r="D134">
        <v>3</v>
      </c>
      <c r="E134">
        <v>192</v>
      </c>
      <c r="F134">
        <v>1</v>
      </c>
      <c r="G134">
        <v>1</v>
      </c>
      <c r="H134">
        <v>183</v>
      </c>
      <c r="I134">
        <v>0</v>
      </c>
      <c r="J134">
        <v>18</v>
      </c>
      <c r="K134">
        <v>0</v>
      </c>
      <c r="L134" s="1">
        <v>43149</v>
      </c>
      <c r="M134" t="s">
        <v>2</v>
      </c>
    </row>
    <row r="135" spans="1:13" ht="24" customHeight="1" x14ac:dyDescent="0.3">
      <c r="A135" t="s">
        <v>15</v>
      </c>
      <c r="B135">
        <v>7</v>
      </c>
      <c r="C135">
        <v>36</v>
      </c>
      <c r="D135">
        <v>1</v>
      </c>
      <c r="E135">
        <v>176</v>
      </c>
      <c r="F135">
        <v>1</v>
      </c>
      <c r="G135">
        <v>3</v>
      </c>
      <c r="H135">
        <v>155</v>
      </c>
      <c r="I135">
        <v>1</v>
      </c>
      <c r="J135">
        <v>13</v>
      </c>
      <c r="K135">
        <v>0</v>
      </c>
      <c r="L135" s="1">
        <v>43238</v>
      </c>
      <c r="M135" t="s">
        <v>24</v>
      </c>
    </row>
    <row r="136" spans="1:13" ht="24" customHeight="1" x14ac:dyDescent="0.3">
      <c r="A136" t="s">
        <v>15</v>
      </c>
      <c r="B136">
        <v>2</v>
      </c>
      <c r="C136">
        <v>32</v>
      </c>
      <c r="D136">
        <v>1</v>
      </c>
      <c r="E136">
        <v>189</v>
      </c>
      <c r="F136">
        <v>0</v>
      </c>
      <c r="G136">
        <v>1</v>
      </c>
      <c r="H136">
        <v>137</v>
      </c>
      <c r="I136">
        <v>1</v>
      </c>
      <c r="J136">
        <v>9</v>
      </c>
      <c r="K136">
        <v>0</v>
      </c>
      <c r="L136" s="1">
        <v>43238</v>
      </c>
      <c r="M136" t="s">
        <v>24</v>
      </c>
    </row>
    <row r="137" spans="1:13" ht="24" customHeight="1" x14ac:dyDescent="0.3">
      <c r="A137" t="s">
        <v>15</v>
      </c>
      <c r="B137">
        <v>4</v>
      </c>
      <c r="C137">
        <v>25</v>
      </c>
      <c r="D137">
        <v>1</v>
      </c>
      <c r="E137">
        <v>138</v>
      </c>
      <c r="F137">
        <v>0</v>
      </c>
      <c r="G137">
        <v>3</v>
      </c>
      <c r="H137">
        <v>133</v>
      </c>
      <c r="I137">
        <v>2</v>
      </c>
      <c r="J137">
        <v>12</v>
      </c>
      <c r="K137">
        <v>0</v>
      </c>
      <c r="L137" s="1">
        <v>43238</v>
      </c>
      <c r="M137" t="s">
        <v>24</v>
      </c>
    </row>
    <row r="138" spans="1:13" ht="24" customHeight="1" x14ac:dyDescent="0.3">
      <c r="A138" t="s">
        <v>8</v>
      </c>
      <c r="B138">
        <v>17</v>
      </c>
      <c r="C138">
        <v>25</v>
      </c>
      <c r="D138">
        <v>5</v>
      </c>
      <c r="E138">
        <v>252</v>
      </c>
      <c r="F138">
        <v>3</v>
      </c>
      <c r="G138">
        <v>8</v>
      </c>
      <c r="H138">
        <v>295</v>
      </c>
      <c r="I138">
        <v>3</v>
      </c>
      <c r="J138">
        <v>16</v>
      </c>
      <c r="K138">
        <v>1</v>
      </c>
      <c r="L138" s="1">
        <v>42374</v>
      </c>
      <c r="M138" t="s">
        <v>2</v>
      </c>
    </row>
    <row r="139" spans="1:13" ht="24" customHeight="1" x14ac:dyDescent="0.3">
      <c r="A139" t="s">
        <v>8</v>
      </c>
      <c r="B139">
        <v>13</v>
      </c>
      <c r="C139">
        <v>41</v>
      </c>
      <c r="D139">
        <v>5</v>
      </c>
      <c r="E139">
        <v>211</v>
      </c>
      <c r="F139">
        <v>8</v>
      </c>
      <c r="G139">
        <v>1</v>
      </c>
      <c r="H139">
        <v>257</v>
      </c>
      <c r="I139">
        <v>4</v>
      </c>
      <c r="J139">
        <v>21</v>
      </c>
      <c r="K139">
        <v>1</v>
      </c>
      <c r="L139" s="1">
        <v>42438</v>
      </c>
      <c r="M139" t="s">
        <v>24</v>
      </c>
    </row>
    <row r="140" spans="1:13" ht="24" customHeight="1" x14ac:dyDescent="0.3">
      <c r="A140" t="s">
        <v>8</v>
      </c>
      <c r="B140">
        <v>7</v>
      </c>
      <c r="C140">
        <v>18</v>
      </c>
      <c r="D140">
        <v>3</v>
      </c>
      <c r="E140">
        <v>177</v>
      </c>
      <c r="F140">
        <v>2</v>
      </c>
      <c r="G140">
        <v>5</v>
      </c>
      <c r="H140">
        <v>260</v>
      </c>
      <c r="I140">
        <v>1</v>
      </c>
      <c r="J140">
        <v>15</v>
      </c>
      <c r="K140">
        <v>1</v>
      </c>
      <c r="L140" s="1">
        <v>42595</v>
      </c>
      <c r="M140" t="s">
        <v>25</v>
      </c>
    </row>
    <row r="141" spans="1:13" ht="24" customHeight="1" x14ac:dyDescent="0.3">
      <c r="A141" t="s">
        <v>8</v>
      </c>
      <c r="B141">
        <v>9</v>
      </c>
      <c r="C141">
        <v>24</v>
      </c>
      <c r="D141">
        <v>1</v>
      </c>
      <c r="E141">
        <v>197</v>
      </c>
      <c r="F141">
        <v>2</v>
      </c>
      <c r="G141">
        <v>2</v>
      </c>
      <c r="H141">
        <v>261</v>
      </c>
      <c r="I141">
        <v>4</v>
      </c>
      <c r="J141">
        <v>16</v>
      </c>
      <c r="K141">
        <v>1</v>
      </c>
      <c r="L141" s="1">
        <v>42628</v>
      </c>
      <c r="M141" t="s">
        <v>26</v>
      </c>
    </row>
    <row r="142" spans="1:13" ht="24" customHeight="1" x14ac:dyDescent="0.3">
      <c r="A142" t="s">
        <v>8</v>
      </c>
      <c r="B142">
        <v>8</v>
      </c>
      <c r="C142">
        <v>35</v>
      </c>
      <c r="D142">
        <v>6</v>
      </c>
      <c r="E142">
        <v>202</v>
      </c>
      <c r="F142">
        <v>3</v>
      </c>
      <c r="G142">
        <v>11</v>
      </c>
      <c r="H142">
        <v>260</v>
      </c>
      <c r="I142">
        <v>1</v>
      </c>
      <c r="J142">
        <v>9</v>
      </c>
      <c r="L142" s="1">
        <v>42787</v>
      </c>
      <c r="M142" t="s">
        <v>2</v>
      </c>
    </row>
    <row r="143" spans="1:13" ht="24" customHeight="1" x14ac:dyDescent="0.3">
      <c r="A143" t="s">
        <v>8</v>
      </c>
      <c r="B143">
        <v>6</v>
      </c>
      <c r="C143">
        <v>37</v>
      </c>
      <c r="D143">
        <v>5</v>
      </c>
      <c r="E143">
        <v>224</v>
      </c>
      <c r="F143">
        <v>3</v>
      </c>
      <c r="G143">
        <v>7</v>
      </c>
      <c r="H143">
        <v>298</v>
      </c>
      <c r="I143">
        <v>2</v>
      </c>
      <c r="J143">
        <v>15</v>
      </c>
      <c r="K143">
        <v>2</v>
      </c>
      <c r="L143" s="1">
        <v>42968</v>
      </c>
      <c r="M143" t="s">
        <v>26</v>
      </c>
    </row>
    <row r="144" spans="1:13" ht="24" customHeight="1" x14ac:dyDescent="0.3">
      <c r="A144" t="s">
        <v>8</v>
      </c>
      <c r="B144">
        <v>11</v>
      </c>
      <c r="C144">
        <v>36</v>
      </c>
      <c r="D144">
        <v>2</v>
      </c>
      <c r="E144">
        <v>250</v>
      </c>
      <c r="F144">
        <v>1</v>
      </c>
      <c r="G144">
        <v>9</v>
      </c>
      <c r="H144">
        <v>345</v>
      </c>
      <c r="I144">
        <v>1</v>
      </c>
      <c r="J144">
        <v>17</v>
      </c>
      <c r="K144">
        <v>1</v>
      </c>
      <c r="L144" s="1">
        <v>43142</v>
      </c>
      <c r="M144" t="s">
        <v>2</v>
      </c>
    </row>
    <row r="145" spans="1:13" ht="24" customHeight="1" x14ac:dyDescent="0.3">
      <c r="A145" t="s">
        <v>8</v>
      </c>
      <c r="B145">
        <v>5</v>
      </c>
      <c r="C145">
        <v>30</v>
      </c>
      <c r="D145">
        <v>6</v>
      </c>
      <c r="E145">
        <v>177</v>
      </c>
      <c r="F145">
        <v>1</v>
      </c>
      <c r="G145">
        <v>2</v>
      </c>
      <c r="H145">
        <v>264</v>
      </c>
      <c r="I145">
        <v>2</v>
      </c>
      <c r="J145">
        <v>17</v>
      </c>
      <c r="K145">
        <v>0</v>
      </c>
      <c r="L145" s="1">
        <v>43231</v>
      </c>
      <c r="M145" t="s">
        <v>24</v>
      </c>
    </row>
    <row r="146" spans="1:13" ht="24" customHeight="1" x14ac:dyDescent="0.3">
      <c r="A146" t="s">
        <v>8</v>
      </c>
      <c r="B146">
        <v>7</v>
      </c>
      <c r="C146">
        <v>37</v>
      </c>
      <c r="D146">
        <v>12</v>
      </c>
      <c r="E146">
        <v>187</v>
      </c>
      <c r="F146">
        <v>2</v>
      </c>
      <c r="G146">
        <v>5</v>
      </c>
      <c r="H146">
        <v>308</v>
      </c>
      <c r="I146">
        <v>2</v>
      </c>
      <c r="J146">
        <v>6</v>
      </c>
      <c r="K146">
        <v>0</v>
      </c>
      <c r="L146" s="1">
        <v>43231</v>
      </c>
      <c r="M146" t="s">
        <v>24</v>
      </c>
    </row>
    <row r="147" spans="1:13" ht="24" customHeight="1" x14ac:dyDescent="0.3">
      <c r="A147" t="s">
        <v>8</v>
      </c>
      <c r="B147">
        <v>6</v>
      </c>
      <c r="C147">
        <v>26</v>
      </c>
      <c r="D147">
        <v>5</v>
      </c>
      <c r="E147">
        <v>174</v>
      </c>
      <c r="F147">
        <v>3</v>
      </c>
      <c r="G147">
        <v>4</v>
      </c>
      <c r="H147">
        <v>272</v>
      </c>
      <c r="I147">
        <v>3</v>
      </c>
      <c r="J147">
        <v>15</v>
      </c>
      <c r="K147">
        <v>1</v>
      </c>
      <c r="L147" s="1">
        <v>43231</v>
      </c>
      <c r="M147" t="s">
        <v>24</v>
      </c>
    </row>
    <row r="148" spans="1:13" ht="24" customHeight="1" x14ac:dyDescent="0.3">
      <c r="A148" t="s">
        <v>7</v>
      </c>
      <c r="B148">
        <v>18</v>
      </c>
      <c r="C148">
        <v>160</v>
      </c>
      <c r="D148">
        <v>2</v>
      </c>
      <c r="E148">
        <v>1625</v>
      </c>
      <c r="F148">
        <v>1</v>
      </c>
      <c r="G148">
        <v>4</v>
      </c>
      <c r="H148">
        <v>786</v>
      </c>
      <c r="I148">
        <v>0</v>
      </c>
      <c r="J148">
        <v>14</v>
      </c>
      <c r="K148">
        <v>2</v>
      </c>
      <c r="L148" s="1">
        <v>42374</v>
      </c>
      <c r="M148" t="s">
        <v>2</v>
      </c>
    </row>
    <row r="149" spans="1:13" ht="24" customHeight="1" x14ac:dyDescent="0.3">
      <c r="A149" t="s">
        <v>7</v>
      </c>
      <c r="B149">
        <v>13</v>
      </c>
      <c r="C149">
        <v>111</v>
      </c>
      <c r="D149">
        <v>11</v>
      </c>
      <c r="E149">
        <v>1220</v>
      </c>
      <c r="F149">
        <v>2</v>
      </c>
      <c r="G149">
        <v>4</v>
      </c>
      <c r="H149">
        <v>548</v>
      </c>
      <c r="I149">
        <v>2</v>
      </c>
      <c r="J149">
        <v>9</v>
      </c>
      <c r="K149">
        <v>0</v>
      </c>
      <c r="L149" s="1">
        <v>42437</v>
      </c>
      <c r="M149" t="s">
        <v>24</v>
      </c>
    </row>
    <row r="150" spans="1:13" ht="24" customHeight="1" x14ac:dyDescent="0.3">
      <c r="A150" t="s">
        <v>7</v>
      </c>
      <c r="B150">
        <v>9</v>
      </c>
      <c r="C150">
        <v>61</v>
      </c>
      <c r="D150">
        <v>8</v>
      </c>
      <c r="E150">
        <v>510</v>
      </c>
      <c r="F150">
        <v>0</v>
      </c>
      <c r="G150">
        <v>7</v>
      </c>
      <c r="H150">
        <v>299</v>
      </c>
      <c r="I150">
        <v>1</v>
      </c>
      <c r="J150">
        <v>6</v>
      </c>
      <c r="K150">
        <v>0</v>
      </c>
      <c r="L150" s="1">
        <v>42594</v>
      </c>
      <c r="M150" t="s">
        <v>25</v>
      </c>
    </row>
    <row r="151" spans="1:13" ht="24" customHeight="1" x14ac:dyDescent="0.3">
      <c r="A151" t="s">
        <v>7</v>
      </c>
      <c r="B151">
        <v>6</v>
      </c>
      <c r="C151">
        <v>47</v>
      </c>
      <c r="D151">
        <v>5</v>
      </c>
      <c r="E151">
        <v>406</v>
      </c>
      <c r="F151">
        <v>1</v>
      </c>
      <c r="G151">
        <v>1</v>
      </c>
      <c r="H151">
        <v>349</v>
      </c>
      <c r="I151">
        <v>1</v>
      </c>
      <c r="J151">
        <v>19</v>
      </c>
      <c r="K151">
        <v>0</v>
      </c>
      <c r="L151" s="1">
        <v>42627</v>
      </c>
      <c r="M151" t="s">
        <v>26</v>
      </c>
    </row>
    <row r="152" spans="1:13" ht="24" customHeight="1" x14ac:dyDescent="0.3">
      <c r="A152" t="s">
        <v>7</v>
      </c>
      <c r="B152">
        <v>18</v>
      </c>
      <c r="C152">
        <v>58</v>
      </c>
      <c r="D152">
        <v>1</v>
      </c>
      <c r="E152">
        <v>548</v>
      </c>
      <c r="F152">
        <v>3</v>
      </c>
      <c r="G152">
        <v>4</v>
      </c>
      <c r="H152">
        <v>358</v>
      </c>
      <c r="I152">
        <v>1</v>
      </c>
      <c r="J152">
        <v>12</v>
      </c>
      <c r="K152">
        <v>1</v>
      </c>
      <c r="L152" s="1">
        <v>42786</v>
      </c>
      <c r="M152" t="s">
        <v>2</v>
      </c>
    </row>
    <row r="153" spans="1:13" ht="24" customHeight="1" x14ac:dyDescent="0.3">
      <c r="A153" t="s">
        <v>7</v>
      </c>
      <c r="B153">
        <v>8</v>
      </c>
      <c r="C153">
        <v>55</v>
      </c>
      <c r="D153">
        <v>4</v>
      </c>
      <c r="E153">
        <v>383</v>
      </c>
      <c r="F153">
        <v>0</v>
      </c>
      <c r="G153">
        <v>3</v>
      </c>
      <c r="H153">
        <v>290</v>
      </c>
      <c r="I153">
        <v>0</v>
      </c>
      <c r="J153">
        <v>10</v>
      </c>
      <c r="K153">
        <v>3</v>
      </c>
      <c r="L153" s="1">
        <v>42967</v>
      </c>
      <c r="M153" t="s">
        <v>26</v>
      </c>
    </row>
    <row r="154" spans="1:13" ht="24" customHeight="1" x14ac:dyDescent="0.3">
      <c r="A154" t="s">
        <v>7</v>
      </c>
      <c r="B154">
        <v>5</v>
      </c>
      <c r="C154">
        <v>52</v>
      </c>
      <c r="D154">
        <v>0</v>
      </c>
      <c r="E154">
        <v>502</v>
      </c>
      <c r="F154">
        <v>0</v>
      </c>
      <c r="G154">
        <v>4</v>
      </c>
      <c r="H154">
        <v>331</v>
      </c>
      <c r="I154">
        <v>4</v>
      </c>
      <c r="J154">
        <v>12</v>
      </c>
      <c r="K154">
        <v>0</v>
      </c>
      <c r="L154" s="1">
        <v>43141</v>
      </c>
      <c r="M154" t="s">
        <v>2</v>
      </c>
    </row>
    <row r="155" spans="1:13" ht="24" customHeight="1" x14ac:dyDescent="0.3">
      <c r="A155" t="s">
        <v>7</v>
      </c>
      <c r="B155">
        <v>6</v>
      </c>
      <c r="C155">
        <v>41</v>
      </c>
      <c r="D155">
        <v>3</v>
      </c>
      <c r="E155">
        <v>421</v>
      </c>
      <c r="F155">
        <v>1</v>
      </c>
      <c r="G155">
        <v>4</v>
      </c>
      <c r="H155">
        <v>301</v>
      </c>
      <c r="I155">
        <v>2</v>
      </c>
      <c r="J155">
        <v>9</v>
      </c>
      <c r="K155">
        <v>0</v>
      </c>
      <c r="L155" s="1">
        <v>43230</v>
      </c>
      <c r="M155" t="s">
        <v>24</v>
      </c>
    </row>
    <row r="156" spans="1:13" ht="24" customHeight="1" x14ac:dyDescent="0.3">
      <c r="A156" t="s">
        <v>7</v>
      </c>
      <c r="B156">
        <v>5</v>
      </c>
      <c r="C156">
        <v>31</v>
      </c>
      <c r="D156">
        <v>4</v>
      </c>
      <c r="E156">
        <v>222</v>
      </c>
      <c r="F156">
        <v>1</v>
      </c>
      <c r="G156">
        <v>4</v>
      </c>
      <c r="H156">
        <v>204</v>
      </c>
      <c r="I156">
        <v>2</v>
      </c>
      <c r="J156">
        <v>10</v>
      </c>
      <c r="K156">
        <v>0</v>
      </c>
      <c r="L156" s="1">
        <v>43230</v>
      </c>
      <c r="M156" t="s">
        <v>24</v>
      </c>
    </row>
    <row r="157" spans="1:13" ht="24" customHeight="1" x14ac:dyDescent="0.3">
      <c r="A157" t="s">
        <v>7</v>
      </c>
      <c r="B157">
        <v>7</v>
      </c>
      <c r="C157">
        <v>28</v>
      </c>
      <c r="D157">
        <v>3</v>
      </c>
      <c r="E157">
        <v>248</v>
      </c>
      <c r="F157">
        <v>2</v>
      </c>
      <c r="G157">
        <v>1</v>
      </c>
      <c r="H157">
        <v>226</v>
      </c>
      <c r="I157">
        <v>1</v>
      </c>
      <c r="J157">
        <v>8</v>
      </c>
      <c r="K157">
        <v>0</v>
      </c>
      <c r="L157" s="1">
        <v>43230</v>
      </c>
      <c r="M157" t="s">
        <v>24</v>
      </c>
    </row>
    <row r="158" spans="1:13" ht="24" customHeight="1" x14ac:dyDescent="0.3">
      <c r="A158" t="s">
        <v>6</v>
      </c>
      <c r="B158">
        <v>47</v>
      </c>
      <c r="C158">
        <v>224</v>
      </c>
      <c r="D158">
        <v>41</v>
      </c>
      <c r="E158">
        <v>1102</v>
      </c>
      <c r="F158">
        <v>7</v>
      </c>
      <c r="G158">
        <v>24</v>
      </c>
      <c r="H158">
        <v>1462</v>
      </c>
      <c r="I158">
        <v>12</v>
      </c>
      <c r="J158">
        <v>93</v>
      </c>
      <c r="K158">
        <v>2</v>
      </c>
      <c r="L158" s="1">
        <v>42374</v>
      </c>
      <c r="M158" t="s">
        <v>2</v>
      </c>
    </row>
    <row r="159" spans="1:13" ht="24" customHeight="1" x14ac:dyDescent="0.3">
      <c r="A159" t="s">
        <v>6</v>
      </c>
      <c r="B159">
        <v>37</v>
      </c>
      <c r="C159">
        <v>168</v>
      </c>
      <c r="D159">
        <v>29</v>
      </c>
      <c r="E159">
        <v>883</v>
      </c>
      <c r="F159">
        <v>8</v>
      </c>
      <c r="G159">
        <v>20</v>
      </c>
      <c r="H159">
        <v>1237</v>
      </c>
      <c r="I159">
        <v>9</v>
      </c>
      <c r="J159">
        <v>75</v>
      </c>
      <c r="K159">
        <v>13</v>
      </c>
      <c r="L159" s="1">
        <v>42436</v>
      </c>
      <c r="M159" t="s">
        <v>24</v>
      </c>
    </row>
    <row r="160" spans="1:13" ht="24" customHeight="1" x14ac:dyDescent="0.3">
      <c r="A160" t="s">
        <v>6</v>
      </c>
      <c r="B160">
        <v>24</v>
      </c>
      <c r="C160">
        <v>136</v>
      </c>
      <c r="D160">
        <v>24</v>
      </c>
      <c r="E160">
        <v>609</v>
      </c>
      <c r="F160">
        <v>8</v>
      </c>
      <c r="G160">
        <v>18</v>
      </c>
      <c r="H160">
        <v>934</v>
      </c>
      <c r="I160">
        <v>9</v>
      </c>
      <c r="J160">
        <v>49</v>
      </c>
      <c r="K160">
        <v>2</v>
      </c>
      <c r="L160" s="1">
        <v>42593</v>
      </c>
      <c r="M160" t="s">
        <v>25</v>
      </c>
    </row>
    <row r="161" spans="1:13" ht="24" customHeight="1" x14ac:dyDescent="0.3">
      <c r="A161" t="s">
        <v>6</v>
      </c>
      <c r="B161">
        <v>34</v>
      </c>
      <c r="C161">
        <v>155</v>
      </c>
      <c r="D161">
        <v>35</v>
      </c>
      <c r="E161">
        <v>730</v>
      </c>
      <c r="F161">
        <v>6</v>
      </c>
      <c r="G161">
        <v>13</v>
      </c>
      <c r="H161">
        <v>1069</v>
      </c>
      <c r="I161">
        <v>2</v>
      </c>
      <c r="J161">
        <v>60</v>
      </c>
      <c r="K161">
        <v>1</v>
      </c>
      <c r="L161" s="1">
        <v>42626</v>
      </c>
      <c r="M161" t="s">
        <v>26</v>
      </c>
    </row>
    <row r="162" spans="1:13" ht="24" customHeight="1" x14ac:dyDescent="0.3">
      <c r="A162" t="s">
        <v>6</v>
      </c>
      <c r="B162">
        <v>33</v>
      </c>
      <c r="C162">
        <v>187</v>
      </c>
      <c r="D162">
        <v>33</v>
      </c>
      <c r="E162">
        <v>818</v>
      </c>
      <c r="F162">
        <v>11</v>
      </c>
      <c r="G162">
        <v>28</v>
      </c>
      <c r="H162">
        <v>1052</v>
      </c>
      <c r="I162">
        <v>13</v>
      </c>
      <c r="J162">
        <v>66</v>
      </c>
      <c r="K162">
        <v>1</v>
      </c>
      <c r="L162" s="1">
        <v>42785</v>
      </c>
      <c r="M162" t="s">
        <v>2</v>
      </c>
    </row>
    <row r="163" spans="1:13" ht="24" customHeight="1" x14ac:dyDescent="0.3">
      <c r="A163" t="s">
        <v>6</v>
      </c>
      <c r="B163">
        <v>28</v>
      </c>
      <c r="C163">
        <v>153</v>
      </c>
      <c r="D163">
        <v>28</v>
      </c>
      <c r="E163">
        <v>695</v>
      </c>
      <c r="F163">
        <v>10</v>
      </c>
      <c r="G163">
        <v>19</v>
      </c>
      <c r="H163">
        <v>904</v>
      </c>
      <c r="I163">
        <v>9</v>
      </c>
      <c r="J163">
        <v>53</v>
      </c>
      <c r="K163">
        <v>6</v>
      </c>
      <c r="L163" s="1">
        <v>42966</v>
      </c>
      <c r="M163" t="s">
        <v>26</v>
      </c>
    </row>
    <row r="164" spans="1:13" ht="24" customHeight="1" x14ac:dyDescent="0.3">
      <c r="A164" t="s">
        <v>6</v>
      </c>
      <c r="B164">
        <v>38</v>
      </c>
      <c r="C164">
        <v>150</v>
      </c>
      <c r="D164">
        <v>34</v>
      </c>
      <c r="E164">
        <v>599</v>
      </c>
      <c r="F164">
        <v>8</v>
      </c>
      <c r="G164">
        <v>16</v>
      </c>
      <c r="H164">
        <v>937</v>
      </c>
      <c r="I164">
        <v>4</v>
      </c>
      <c r="J164">
        <v>51</v>
      </c>
      <c r="K164">
        <v>0</v>
      </c>
      <c r="L164" s="1">
        <v>43140</v>
      </c>
      <c r="M164" t="s">
        <v>2</v>
      </c>
    </row>
    <row r="165" spans="1:13" ht="24" customHeight="1" x14ac:dyDescent="0.3">
      <c r="A165" t="s">
        <v>6</v>
      </c>
      <c r="B165">
        <v>23</v>
      </c>
      <c r="C165">
        <v>134</v>
      </c>
      <c r="D165">
        <v>22</v>
      </c>
      <c r="E165">
        <v>468</v>
      </c>
      <c r="F165">
        <v>7</v>
      </c>
      <c r="G165">
        <v>24</v>
      </c>
      <c r="H165">
        <v>797</v>
      </c>
      <c r="I165">
        <v>8</v>
      </c>
      <c r="J165">
        <v>51</v>
      </c>
      <c r="K165">
        <v>3</v>
      </c>
      <c r="L165" s="1">
        <v>43229</v>
      </c>
      <c r="M165" t="s">
        <v>24</v>
      </c>
    </row>
    <row r="166" spans="1:13" ht="24" customHeight="1" x14ac:dyDescent="0.3">
      <c r="A166" t="s">
        <v>6</v>
      </c>
      <c r="B166">
        <v>31</v>
      </c>
      <c r="C166">
        <v>121</v>
      </c>
      <c r="D166">
        <v>27</v>
      </c>
      <c r="E166">
        <v>465</v>
      </c>
      <c r="F166">
        <v>5</v>
      </c>
      <c r="G166">
        <v>15</v>
      </c>
      <c r="H166">
        <v>806</v>
      </c>
      <c r="I166">
        <v>3</v>
      </c>
      <c r="J166">
        <v>37</v>
      </c>
      <c r="K166">
        <v>0</v>
      </c>
      <c r="L166" s="1">
        <v>43229</v>
      </c>
      <c r="M166" t="s">
        <v>24</v>
      </c>
    </row>
    <row r="167" spans="1:13" ht="24" customHeight="1" x14ac:dyDescent="0.3">
      <c r="A167" t="s">
        <v>6</v>
      </c>
      <c r="B167">
        <v>23</v>
      </c>
      <c r="C167">
        <v>122</v>
      </c>
      <c r="D167">
        <v>27</v>
      </c>
      <c r="E167">
        <v>352</v>
      </c>
      <c r="F167">
        <v>8</v>
      </c>
      <c r="G167">
        <v>9</v>
      </c>
      <c r="H167">
        <v>649</v>
      </c>
      <c r="I167">
        <v>4</v>
      </c>
      <c r="J167">
        <v>37</v>
      </c>
      <c r="K167">
        <v>1</v>
      </c>
      <c r="L167" s="1">
        <v>43229</v>
      </c>
      <c r="M167" t="s">
        <v>24</v>
      </c>
    </row>
    <row r="168" spans="1:13" ht="24" customHeight="1" x14ac:dyDescent="0.3">
      <c r="A168" t="s">
        <v>21</v>
      </c>
      <c r="B168">
        <v>2</v>
      </c>
      <c r="C168">
        <v>6</v>
      </c>
      <c r="D168">
        <v>0</v>
      </c>
      <c r="E168">
        <v>61</v>
      </c>
      <c r="F168">
        <v>2</v>
      </c>
      <c r="G168">
        <v>1</v>
      </c>
      <c r="H168">
        <v>39</v>
      </c>
      <c r="I168">
        <v>1</v>
      </c>
      <c r="J168">
        <v>2</v>
      </c>
      <c r="K168">
        <v>0</v>
      </c>
      <c r="L168" s="1">
        <v>42374</v>
      </c>
      <c r="M168" t="s">
        <v>2</v>
      </c>
    </row>
    <row r="169" spans="1:13" ht="24" customHeight="1" x14ac:dyDescent="0.3">
      <c r="A169" t="s">
        <v>21</v>
      </c>
      <c r="B169">
        <v>1</v>
      </c>
      <c r="C169">
        <v>0</v>
      </c>
      <c r="D169">
        <v>1</v>
      </c>
      <c r="E169">
        <v>33</v>
      </c>
      <c r="F169">
        <v>0</v>
      </c>
      <c r="G169">
        <v>2</v>
      </c>
      <c r="H169">
        <v>29</v>
      </c>
      <c r="I169">
        <v>0</v>
      </c>
      <c r="J169">
        <v>2</v>
      </c>
      <c r="K169">
        <v>0</v>
      </c>
      <c r="L169" s="1">
        <v>42451</v>
      </c>
      <c r="M169" t="s">
        <v>24</v>
      </c>
    </row>
    <row r="170" spans="1:13" ht="24" customHeight="1" x14ac:dyDescent="0.3">
      <c r="A170" t="s">
        <v>21</v>
      </c>
      <c r="B170">
        <v>1</v>
      </c>
      <c r="C170">
        <v>6</v>
      </c>
      <c r="D170">
        <v>0</v>
      </c>
      <c r="E170">
        <v>17</v>
      </c>
      <c r="F170">
        <v>3</v>
      </c>
      <c r="G170">
        <v>0</v>
      </c>
      <c r="H170">
        <v>30</v>
      </c>
      <c r="I170">
        <v>0</v>
      </c>
      <c r="J170">
        <v>2</v>
      </c>
      <c r="K170">
        <v>0</v>
      </c>
      <c r="L170" s="1">
        <v>42608</v>
      </c>
      <c r="M170" t="s">
        <v>25</v>
      </c>
    </row>
    <row r="171" spans="1:13" ht="24" customHeight="1" x14ac:dyDescent="0.3">
      <c r="A171" t="s">
        <v>21</v>
      </c>
      <c r="B171">
        <v>3</v>
      </c>
      <c r="C171">
        <v>3</v>
      </c>
      <c r="D171">
        <v>0</v>
      </c>
      <c r="E171">
        <v>23</v>
      </c>
      <c r="F171">
        <v>0</v>
      </c>
      <c r="G171">
        <v>1</v>
      </c>
      <c r="H171">
        <v>18</v>
      </c>
      <c r="I171">
        <v>0</v>
      </c>
      <c r="J171">
        <v>1</v>
      </c>
      <c r="K171">
        <v>0</v>
      </c>
      <c r="L171" s="1">
        <v>42641</v>
      </c>
      <c r="M171" t="s">
        <v>26</v>
      </c>
    </row>
    <row r="172" spans="1:13" ht="24" customHeight="1" x14ac:dyDescent="0.3">
      <c r="A172" t="s">
        <v>21</v>
      </c>
      <c r="C172">
        <v>2</v>
      </c>
      <c r="E172">
        <v>18</v>
      </c>
      <c r="G172">
        <v>1</v>
      </c>
      <c r="H172">
        <v>23</v>
      </c>
      <c r="L172" s="1">
        <v>42800</v>
      </c>
      <c r="M172" t="s">
        <v>2</v>
      </c>
    </row>
    <row r="173" spans="1:13" ht="24" customHeight="1" x14ac:dyDescent="0.3">
      <c r="A173" t="s">
        <v>21</v>
      </c>
      <c r="B173">
        <v>1</v>
      </c>
      <c r="C173">
        <v>1</v>
      </c>
      <c r="D173">
        <v>0</v>
      </c>
      <c r="E173">
        <v>13</v>
      </c>
      <c r="F173">
        <v>0</v>
      </c>
      <c r="G173">
        <v>0</v>
      </c>
      <c r="H173">
        <v>10</v>
      </c>
      <c r="I173">
        <v>0</v>
      </c>
      <c r="J173">
        <v>1</v>
      </c>
      <c r="K173">
        <v>0</v>
      </c>
      <c r="L173" s="1">
        <v>42981</v>
      </c>
      <c r="M173" t="s">
        <v>26</v>
      </c>
    </row>
    <row r="174" spans="1:13" ht="24" customHeight="1" x14ac:dyDescent="0.3">
      <c r="A174" t="s">
        <v>21</v>
      </c>
      <c r="B174">
        <v>2</v>
      </c>
      <c r="C174">
        <v>2</v>
      </c>
      <c r="D174">
        <v>0</v>
      </c>
      <c r="E174">
        <v>14</v>
      </c>
      <c r="F174">
        <v>1</v>
      </c>
      <c r="G174">
        <v>2</v>
      </c>
      <c r="H174">
        <v>15</v>
      </c>
      <c r="I174">
        <v>0</v>
      </c>
      <c r="J174">
        <v>0</v>
      </c>
      <c r="K174">
        <v>0</v>
      </c>
      <c r="L174" s="1">
        <v>43155</v>
      </c>
      <c r="M174" t="s">
        <v>2</v>
      </c>
    </row>
    <row r="175" spans="1:13" ht="24" customHeight="1" x14ac:dyDescent="0.3">
      <c r="A175" t="s">
        <v>21</v>
      </c>
      <c r="B175">
        <v>1</v>
      </c>
      <c r="C175">
        <v>2</v>
      </c>
      <c r="D175">
        <v>0</v>
      </c>
      <c r="E175">
        <v>8</v>
      </c>
      <c r="F175">
        <v>1</v>
      </c>
      <c r="G175">
        <v>0</v>
      </c>
      <c r="H175">
        <v>11</v>
      </c>
      <c r="I175">
        <v>0</v>
      </c>
      <c r="J175">
        <v>1</v>
      </c>
      <c r="K175">
        <v>0</v>
      </c>
      <c r="L175" s="1">
        <v>43244</v>
      </c>
      <c r="M175" t="s">
        <v>24</v>
      </c>
    </row>
    <row r="176" spans="1:13" ht="24" customHeight="1" x14ac:dyDescent="0.3">
      <c r="A176" t="s">
        <v>21</v>
      </c>
      <c r="B176">
        <v>0</v>
      </c>
      <c r="C176">
        <v>1</v>
      </c>
      <c r="D176">
        <v>0</v>
      </c>
      <c r="E176">
        <v>20</v>
      </c>
      <c r="F176">
        <v>1</v>
      </c>
      <c r="G176">
        <v>0</v>
      </c>
      <c r="H176">
        <v>14</v>
      </c>
      <c r="I176">
        <v>0</v>
      </c>
      <c r="J176">
        <v>0</v>
      </c>
      <c r="K176">
        <v>0</v>
      </c>
      <c r="L176" s="1">
        <v>43244</v>
      </c>
      <c r="M176" t="s">
        <v>24</v>
      </c>
    </row>
    <row r="177" spans="1:13" ht="24" customHeight="1" x14ac:dyDescent="0.3">
      <c r="A177" t="s">
        <v>21</v>
      </c>
      <c r="B177">
        <v>1</v>
      </c>
      <c r="C177">
        <v>0</v>
      </c>
      <c r="D177">
        <v>0</v>
      </c>
      <c r="E177">
        <v>14</v>
      </c>
      <c r="F177">
        <v>1</v>
      </c>
      <c r="G177">
        <v>2</v>
      </c>
      <c r="H177">
        <v>7</v>
      </c>
      <c r="I177">
        <v>0</v>
      </c>
      <c r="J177">
        <v>2</v>
      </c>
      <c r="K177">
        <v>0</v>
      </c>
      <c r="L177" s="1">
        <v>43244</v>
      </c>
      <c r="M177" t="s">
        <v>24</v>
      </c>
    </row>
    <row r="178" spans="1:13" ht="24" customHeight="1" x14ac:dyDescent="0.3">
      <c r="A178" t="s">
        <v>17</v>
      </c>
      <c r="B178">
        <v>0</v>
      </c>
      <c r="C178">
        <v>1</v>
      </c>
      <c r="D178">
        <v>0</v>
      </c>
      <c r="E178">
        <v>6</v>
      </c>
      <c r="F178">
        <v>0</v>
      </c>
      <c r="G178">
        <v>0</v>
      </c>
      <c r="H178">
        <v>5</v>
      </c>
      <c r="I178">
        <v>0</v>
      </c>
      <c r="J178">
        <v>0</v>
      </c>
      <c r="K178">
        <v>0</v>
      </c>
      <c r="L178" s="1">
        <v>42374</v>
      </c>
      <c r="M178" t="s">
        <v>2</v>
      </c>
    </row>
    <row r="179" spans="1:13" ht="24" customHeight="1" x14ac:dyDescent="0.3">
      <c r="A179" t="s">
        <v>17</v>
      </c>
      <c r="B179">
        <v>0</v>
      </c>
      <c r="C179">
        <v>1</v>
      </c>
      <c r="D179">
        <v>0</v>
      </c>
      <c r="E179">
        <v>6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 s="1">
        <v>42447</v>
      </c>
      <c r="M179" t="s">
        <v>24</v>
      </c>
    </row>
    <row r="180" spans="1:13" ht="24" customHeight="1" x14ac:dyDescent="0.3">
      <c r="A180" t="s">
        <v>17</v>
      </c>
      <c r="B180">
        <v>0</v>
      </c>
      <c r="C180">
        <v>0</v>
      </c>
      <c r="D180">
        <v>0</v>
      </c>
      <c r="E180">
        <v>5</v>
      </c>
      <c r="F180">
        <v>0</v>
      </c>
      <c r="G180">
        <v>0</v>
      </c>
      <c r="H180">
        <v>5</v>
      </c>
      <c r="I180">
        <v>0</v>
      </c>
      <c r="J180">
        <v>0</v>
      </c>
      <c r="K180">
        <v>0</v>
      </c>
      <c r="L180" s="1">
        <v>42604</v>
      </c>
      <c r="M180" t="s">
        <v>25</v>
      </c>
    </row>
    <row r="181" spans="1:13" ht="24" customHeight="1" x14ac:dyDescent="0.3">
      <c r="A181" t="s">
        <v>17</v>
      </c>
      <c r="B181">
        <v>0</v>
      </c>
      <c r="C181">
        <v>1</v>
      </c>
      <c r="D181">
        <v>0</v>
      </c>
      <c r="E181">
        <v>4</v>
      </c>
      <c r="F181">
        <v>0</v>
      </c>
      <c r="G181">
        <v>0</v>
      </c>
      <c r="H181">
        <v>4</v>
      </c>
      <c r="I181">
        <v>0</v>
      </c>
      <c r="J181">
        <v>0</v>
      </c>
      <c r="K181">
        <v>0</v>
      </c>
      <c r="L181" s="1">
        <v>42637</v>
      </c>
      <c r="M181" t="s">
        <v>26</v>
      </c>
    </row>
    <row r="182" spans="1:13" ht="24" customHeight="1" x14ac:dyDescent="0.3">
      <c r="A182" t="s">
        <v>17</v>
      </c>
      <c r="C182">
        <v>0</v>
      </c>
      <c r="E182">
        <v>5</v>
      </c>
      <c r="H182">
        <v>6</v>
      </c>
      <c r="I182">
        <v>0</v>
      </c>
      <c r="L182" s="1">
        <v>42796</v>
      </c>
      <c r="M182" t="s">
        <v>2</v>
      </c>
    </row>
    <row r="183" spans="1:13" ht="24" customHeight="1" x14ac:dyDescent="0.3">
      <c r="A183" t="s">
        <v>17</v>
      </c>
      <c r="B183">
        <v>0</v>
      </c>
      <c r="C183">
        <v>0</v>
      </c>
      <c r="D183">
        <v>0</v>
      </c>
      <c r="E183">
        <v>2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 s="1">
        <v>42977</v>
      </c>
      <c r="M183" t="s">
        <v>26</v>
      </c>
    </row>
    <row r="184" spans="1:13" ht="24" customHeight="1" x14ac:dyDescent="0.3">
      <c r="A184" t="s">
        <v>17</v>
      </c>
      <c r="B184">
        <v>1</v>
      </c>
      <c r="C184">
        <v>0</v>
      </c>
      <c r="D184">
        <v>0</v>
      </c>
      <c r="E184">
        <v>3</v>
      </c>
      <c r="F184">
        <v>0</v>
      </c>
      <c r="G184">
        <v>0</v>
      </c>
      <c r="H184">
        <v>4</v>
      </c>
      <c r="I184">
        <v>0</v>
      </c>
      <c r="J184">
        <v>0</v>
      </c>
      <c r="K184">
        <v>0</v>
      </c>
      <c r="L184" s="1">
        <v>43151</v>
      </c>
      <c r="M184" t="s">
        <v>2</v>
      </c>
    </row>
    <row r="185" spans="1:13" ht="24" customHeight="1" x14ac:dyDescent="0.3">
      <c r="A185" t="s">
        <v>17</v>
      </c>
      <c r="B185">
        <v>0</v>
      </c>
      <c r="C185">
        <v>1</v>
      </c>
      <c r="D185">
        <v>0</v>
      </c>
      <c r="E185">
        <v>3</v>
      </c>
      <c r="F185">
        <v>0</v>
      </c>
      <c r="G185">
        <v>0</v>
      </c>
      <c r="H185">
        <v>2</v>
      </c>
      <c r="I185">
        <v>1</v>
      </c>
      <c r="J185">
        <v>0</v>
      </c>
      <c r="K185">
        <v>0</v>
      </c>
      <c r="L185" s="1">
        <v>43240</v>
      </c>
      <c r="M185" t="s">
        <v>24</v>
      </c>
    </row>
    <row r="186" spans="1:13" ht="24" customHeight="1" x14ac:dyDescent="0.3">
      <c r="A186" t="s">
        <v>17</v>
      </c>
      <c r="B186">
        <v>0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4</v>
      </c>
      <c r="I186">
        <v>0</v>
      </c>
      <c r="J186">
        <v>0</v>
      </c>
      <c r="K186">
        <v>0</v>
      </c>
      <c r="L186" s="1">
        <v>43240</v>
      </c>
      <c r="M186" t="s">
        <v>24</v>
      </c>
    </row>
    <row r="187" spans="1:13" ht="24" customHeight="1" x14ac:dyDescent="0.3">
      <c r="A187" t="s">
        <v>17</v>
      </c>
      <c r="B187">
        <v>0</v>
      </c>
      <c r="C187">
        <v>0</v>
      </c>
      <c r="D187">
        <v>0</v>
      </c>
      <c r="E187">
        <v>5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0</v>
      </c>
      <c r="L187" s="1">
        <v>43240</v>
      </c>
      <c r="M187" t="s">
        <v>24</v>
      </c>
    </row>
    <row r="188" spans="1:13" ht="24" customHeight="1" x14ac:dyDescent="0.3">
      <c r="A188" t="s">
        <v>1</v>
      </c>
      <c r="B188">
        <v>39</v>
      </c>
      <c r="C188">
        <v>192</v>
      </c>
      <c r="D188">
        <v>25</v>
      </c>
      <c r="E188">
        <v>1190</v>
      </c>
      <c r="F188">
        <v>6</v>
      </c>
      <c r="G188">
        <v>40</v>
      </c>
      <c r="H188">
        <v>1480</v>
      </c>
      <c r="I188">
        <v>28</v>
      </c>
      <c r="J188">
        <v>132</v>
      </c>
      <c r="K188">
        <v>5</v>
      </c>
      <c r="L188" s="1">
        <v>42374</v>
      </c>
      <c r="M188" t="s">
        <v>2</v>
      </c>
    </row>
    <row r="189" spans="1:13" ht="24" customHeight="1" x14ac:dyDescent="0.3">
      <c r="A189" t="s">
        <v>1</v>
      </c>
      <c r="B189">
        <v>32</v>
      </c>
      <c r="C189">
        <v>180</v>
      </c>
      <c r="D189">
        <v>25</v>
      </c>
      <c r="E189">
        <v>1086</v>
      </c>
      <c r="F189">
        <v>18</v>
      </c>
      <c r="G189">
        <v>44</v>
      </c>
      <c r="H189">
        <v>1303</v>
      </c>
      <c r="I189">
        <v>16</v>
      </c>
      <c r="J189">
        <v>111</v>
      </c>
      <c r="K189">
        <v>0</v>
      </c>
      <c r="L189" s="1">
        <v>42432</v>
      </c>
      <c r="M189" t="s">
        <v>24</v>
      </c>
    </row>
    <row r="190" spans="1:13" ht="24" customHeight="1" x14ac:dyDescent="0.3">
      <c r="A190" t="s">
        <v>1</v>
      </c>
      <c r="B190">
        <v>25</v>
      </c>
      <c r="C190">
        <v>123</v>
      </c>
      <c r="D190">
        <v>18</v>
      </c>
      <c r="E190">
        <v>835</v>
      </c>
      <c r="F190">
        <v>7</v>
      </c>
      <c r="G190">
        <v>27</v>
      </c>
      <c r="H190">
        <v>1043</v>
      </c>
      <c r="I190">
        <v>21</v>
      </c>
      <c r="J190">
        <v>100</v>
      </c>
      <c r="K190">
        <v>4</v>
      </c>
      <c r="L190" s="1">
        <v>42589</v>
      </c>
      <c r="M190" t="s">
        <v>25</v>
      </c>
    </row>
    <row r="191" spans="1:13" ht="24" customHeight="1" x14ac:dyDescent="0.3">
      <c r="A191" t="s">
        <v>1</v>
      </c>
      <c r="B191">
        <v>33</v>
      </c>
      <c r="C191">
        <v>153</v>
      </c>
      <c r="D191">
        <v>17</v>
      </c>
      <c r="E191">
        <v>918</v>
      </c>
      <c r="F191">
        <v>18</v>
      </c>
      <c r="G191">
        <v>29</v>
      </c>
      <c r="H191">
        <v>1223</v>
      </c>
      <c r="I191">
        <v>22</v>
      </c>
      <c r="J191">
        <v>130</v>
      </c>
      <c r="K191">
        <v>5</v>
      </c>
      <c r="L191" s="1">
        <v>42622</v>
      </c>
      <c r="M191" t="s">
        <v>26</v>
      </c>
    </row>
    <row r="192" spans="1:13" ht="24" customHeight="1" x14ac:dyDescent="0.3">
      <c r="A192" t="s">
        <v>1</v>
      </c>
      <c r="B192">
        <v>35</v>
      </c>
      <c r="C192">
        <v>166</v>
      </c>
      <c r="D192">
        <v>27</v>
      </c>
      <c r="E192">
        <v>875</v>
      </c>
      <c r="F192">
        <v>13</v>
      </c>
      <c r="G192">
        <v>35</v>
      </c>
      <c r="H192">
        <v>1131</v>
      </c>
      <c r="I192">
        <v>28</v>
      </c>
      <c r="J192">
        <v>107</v>
      </c>
      <c r="K192">
        <v>2</v>
      </c>
      <c r="L192" s="1">
        <v>42781</v>
      </c>
      <c r="M192" t="s">
        <v>2</v>
      </c>
    </row>
    <row r="193" spans="1:13" ht="24" customHeight="1" x14ac:dyDescent="0.3">
      <c r="A193" t="s">
        <v>1</v>
      </c>
      <c r="B193">
        <v>34</v>
      </c>
      <c r="C193">
        <v>138</v>
      </c>
      <c r="D193">
        <v>28</v>
      </c>
      <c r="E193">
        <v>697</v>
      </c>
      <c r="F193">
        <v>11</v>
      </c>
      <c r="G193">
        <v>23</v>
      </c>
      <c r="H193">
        <v>1038</v>
      </c>
      <c r="I193">
        <v>17</v>
      </c>
      <c r="J193">
        <v>73</v>
      </c>
      <c r="K193">
        <v>1</v>
      </c>
      <c r="L193" s="1">
        <v>42962</v>
      </c>
      <c r="M193" t="s">
        <v>26</v>
      </c>
    </row>
    <row r="194" spans="1:13" ht="24" customHeight="1" x14ac:dyDescent="0.3">
      <c r="A194" t="s">
        <v>1</v>
      </c>
      <c r="B194">
        <v>32</v>
      </c>
      <c r="C194">
        <v>140</v>
      </c>
      <c r="D194">
        <v>21</v>
      </c>
      <c r="E194">
        <v>684</v>
      </c>
      <c r="F194">
        <v>14</v>
      </c>
      <c r="G194">
        <v>39</v>
      </c>
      <c r="H194">
        <v>938</v>
      </c>
      <c r="I194">
        <v>28</v>
      </c>
      <c r="J194">
        <v>105</v>
      </c>
      <c r="K194">
        <v>2</v>
      </c>
      <c r="L194" s="1">
        <v>43136</v>
      </c>
      <c r="M194" t="s">
        <v>2</v>
      </c>
    </row>
    <row r="195" spans="1:13" ht="24" customHeight="1" x14ac:dyDescent="0.3">
      <c r="A195" t="s">
        <v>1</v>
      </c>
      <c r="B195">
        <v>15</v>
      </c>
      <c r="C195">
        <v>90</v>
      </c>
      <c r="D195">
        <v>10</v>
      </c>
      <c r="E195">
        <v>572</v>
      </c>
      <c r="F195">
        <v>12</v>
      </c>
      <c r="G195">
        <v>24</v>
      </c>
      <c r="H195">
        <v>788</v>
      </c>
      <c r="I195">
        <v>11</v>
      </c>
      <c r="J195">
        <v>67</v>
      </c>
      <c r="K195">
        <v>1</v>
      </c>
      <c r="L195" s="1">
        <v>43225</v>
      </c>
      <c r="M195" t="s">
        <v>24</v>
      </c>
    </row>
    <row r="196" spans="1:13" ht="24" customHeight="1" x14ac:dyDescent="0.3">
      <c r="A196" t="s">
        <v>1</v>
      </c>
      <c r="B196">
        <v>24</v>
      </c>
      <c r="C196">
        <v>101</v>
      </c>
      <c r="D196">
        <v>16</v>
      </c>
      <c r="E196">
        <v>570</v>
      </c>
      <c r="F196">
        <v>11</v>
      </c>
      <c r="G196">
        <v>35</v>
      </c>
      <c r="H196">
        <v>836</v>
      </c>
      <c r="I196">
        <v>9</v>
      </c>
      <c r="J196">
        <v>61</v>
      </c>
      <c r="K196">
        <v>2</v>
      </c>
      <c r="L196" s="1">
        <v>43225</v>
      </c>
      <c r="M196" t="s">
        <v>24</v>
      </c>
    </row>
    <row r="197" spans="1:13" ht="24" customHeight="1" x14ac:dyDescent="0.3">
      <c r="A197" t="s">
        <v>1</v>
      </c>
      <c r="B197">
        <v>26</v>
      </c>
      <c r="C197">
        <v>118</v>
      </c>
      <c r="D197">
        <v>19</v>
      </c>
      <c r="E197">
        <v>528</v>
      </c>
      <c r="F197">
        <v>12</v>
      </c>
      <c r="G197">
        <v>38</v>
      </c>
      <c r="H197">
        <v>736</v>
      </c>
      <c r="I197">
        <v>18</v>
      </c>
      <c r="J197">
        <v>71</v>
      </c>
      <c r="K197">
        <v>0</v>
      </c>
      <c r="L197" s="1">
        <v>43225</v>
      </c>
      <c r="M197" t="s">
        <v>24</v>
      </c>
    </row>
    <row r="198" spans="1:13" ht="24" customHeight="1" x14ac:dyDescent="0.3">
      <c r="A198" t="s">
        <v>9</v>
      </c>
      <c r="B198">
        <v>3</v>
      </c>
      <c r="C198">
        <v>5</v>
      </c>
      <c r="D198">
        <v>1</v>
      </c>
      <c r="E198">
        <v>49</v>
      </c>
      <c r="F198">
        <v>1</v>
      </c>
      <c r="G198">
        <v>2</v>
      </c>
      <c r="H198">
        <v>63</v>
      </c>
      <c r="I198">
        <v>5</v>
      </c>
      <c r="J198">
        <v>2</v>
      </c>
      <c r="K198">
        <v>0</v>
      </c>
      <c r="L198" s="1">
        <v>42374</v>
      </c>
      <c r="M198" t="s">
        <v>2</v>
      </c>
    </row>
    <row r="199" spans="1:13" ht="24" customHeight="1" x14ac:dyDescent="0.3">
      <c r="A199" t="s">
        <v>9</v>
      </c>
      <c r="B199">
        <v>3</v>
      </c>
      <c r="C199">
        <v>7</v>
      </c>
      <c r="D199">
        <v>0</v>
      </c>
      <c r="E199">
        <v>45</v>
      </c>
      <c r="F199">
        <v>0</v>
      </c>
      <c r="G199">
        <v>1</v>
      </c>
      <c r="H199">
        <v>33</v>
      </c>
      <c r="I199">
        <v>2</v>
      </c>
      <c r="J199">
        <v>1</v>
      </c>
      <c r="K199">
        <v>0</v>
      </c>
      <c r="L199" s="1">
        <v>42439</v>
      </c>
      <c r="M199" t="s">
        <v>24</v>
      </c>
    </row>
    <row r="200" spans="1:13" ht="24" customHeight="1" x14ac:dyDescent="0.3">
      <c r="A200" t="s">
        <v>9</v>
      </c>
      <c r="B200">
        <v>1</v>
      </c>
      <c r="C200">
        <v>2</v>
      </c>
      <c r="D200">
        <v>1</v>
      </c>
      <c r="E200">
        <v>38</v>
      </c>
      <c r="F200">
        <v>0</v>
      </c>
      <c r="G200">
        <v>0</v>
      </c>
      <c r="H200">
        <v>30</v>
      </c>
      <c r="I200">
        <v>5</v>
      </c>
      <c r="J200">
        <v>1</v>
      </c>
      <c r="K200">
        <v>0</v>
      </c>
      <c r="L200" s="1">
        <v>42596</v>
      </c>
      <c r="M200" t="s">
        <v>25</v>
      </c>
    </row>
    <row r="201" spans="1:13" ht="24" customHeight="1" x14ac:dyDescent="0.3">
      <c r="A201" t="s">
        <v>9</v>
      </c>
      <c r="B201">
        <v>0</v>
      </c>
      <c r="C201">
        <v>6</v>
      </c>
      <c r="D201">
        <v>2</v>
      </c>
      <c r="E201">
        <v>44</v>
      </c>
      <c r="F201">
        <v>0</v>
      </c>
      <c r="G201">
        <v>3</v>
      </c>
      <c r="H201">
        <v>38</v>
      </c>
      <c r="I201">
        <v>4</v>
      </c>
      <c r="J201">
        <v>5</v>
      </c>
      <c r="K201">
        <v>0</v>
      </c>
      <c r="L201" s="1">
        <v>42629</v>
      </c>
      <c r="M201" t="s">
        <v>26</v>
      </c>
    </row>
    <row r="202" spans="1:13" ht="24" customHeight="1" x14ac:dyDescent="0.3">
      <c r="A202" t="s">
        <v>9</v>
      </c>
      <c r="B202">
        <v>4</v>
      </c>
      <c r="C202">
        <v>6</v>
      </c>
      <c r="D202">
        <v>2</v>
      </c>
      <c r="E202">
        <v>39</v>
      </c>
      <c r="G202">
        <v>1</v>
      </c>
      <c r="H202">
        <v>37</v>
      </c>
      <c r="I202">
        <v>1</v>
      </c>
      <c r="J202">
        <v>2</v>
      </c>
      <c r="L202" s="1">
        <v>42788</v>
      </c>
      <c r="M202" t="s">
        <v>2</v>
      </c>
    </row>
    <row r="203" spans="1:13" ht="24" customHeight="1" x14ac:dyDescent="0.3">
      <c r="A203" t="s">
        <v>9</v>
      </c>
      <c r="B203">
        <v>1</v>
      </c>
      <c r="C203">
        <v>5</v>
      </c>
      <c r="D203">
        <v>1</v>
      </c>
      <c r="E203">
        <v>29</v>
      </c>
      <c r="F203">
        <v>0</v>
      </c>
      <c r="G203">
        <v>0</v>
      </c>
      <c r="H203">
        <v>34</v>
      </c>
      <c r="I203">
        <v>5</v>
      </c>
      <c r="J203">
        <v>3</v>
      </c>
      <c r="K203">
        <v>0</v>
      </c>
      <c r="L203" s="1">
        <v>42969</v>
      </c>
      <c r="M203" t="s">
        <v>26</v>
      </c>
    </row>
    <row r="204" spans="1:13" ht="24" customHeight="1" x14ac:dyDescent="0.3">
      <c r="A204" t="s">
        <v>9</v>
      </c>
      <c r="B204">
        <v>0</v>
      </c>
      <c r="C204">
        <v>6</v>
      </c>
      <c r="D204">
        <v>0</v>
      </c>
      <c r="E204">
        <v>22</v>
      </c>
      <c r="F204">
        <v>0</v>
      </c>
      <c r="G204">
        <v>0</v>
      </c>
      <c r="H204">
        <v>27</v>
      </c>
      <c r="I204">
        <v>3</v>
      </c>
      <c r="J204">
        <v>1</v>
      </c>
      <c r="K204">
        <v>0</v>
      </c>
      <c r="L204" s="1">
        <v>43143</v>
      </c>
      <c r="M204" t="s">
        <v>2</v>
      </c>
    </row>
    <row r="205" spans="1:13" ht="24" customHeight="1" x14ac:dyDescent="0.3">
      <c r="A205" t="s">
        <v>9</v>
      </c>
      <c r="B205">
        <v>1</v>
      </c>
      <c r="C205">
        <v>6</v>
      </c>
      <c r="D205">
        <v>3</v>
      </c>
      <c r="E205">
        <v>38</v>
      </c>
      <c r="F205">
        <v>0</v>
      </c>
      <c r="G205">
        <v>1</v>
      </c>
      <c r="H205">
        <v>27</v>
      </c>
      <c r="I205">
        <v>4</v>
      </c>
      <c r="J205">
        <v>1</v>
      </c>
      <c r="K205">
        <v>0</v>
      </c>
      <c r="L205" s="1">
        <v>43232</v>
      </c>
      <c r="M205" t="s">
        <v>24</v>
      </c>
    </row>
    <row r="206" spans="1:13" ht="24" customHeight="1" x14ac:dyDescent="0.3">
      <c r="A206" t="s">
        <v>9</v>
      </c>
      <c r="B206">
        <v>1</v>
      </c>
      <c r="C206">
        <v>4</v>
      </c>
      <c r="D206">
        <v>0</v>
      </c>
      <c r="E206">
        <v>30</v>
      </c>
      <c r="F206">
        <v>0</v>
      </c>
      <c r="G206">
        <v>0</v>
      </c>
      <c r="H206">
        <v>33</v>
      </c>
      <c r="I206">
        <v>3</v>
      </c>
      <c r="J206">
        <v>2</v>
      </c>
      <c r="K206">
        <v>0</v>
      </c>
      <c r="L206" s="1">
        <v>43232</v>
      </c>
      <c r="M206" t="s">
        <v>24</v>
      </c>
    </row>
    <row r="207" spans="1:13" ht="24" customHeight="1" x14ac:dyDescent="0.3">
      <c r="A207" t="s">
        <v>9</v>
      </c>
      <c r="B207">
        <v>1</v>
      </c>
      <c r="C207">
        <v>3</v>
      </c>
      <c r="D207">
        <v>0</v>
      </c>
      <c r="E207">
        <v>20</v>
      </c>
      <c r="F207">
        <v>0</v>
      </c>
      <c r="G207">
        <v>0</v>
      </c>
      <c r="H207">
        <v>22</v>
      </c>
      <c r="I207">
        <v>3</v>
      </c>
      <c r="J207">
        <v>1</v>
      </c>
      <c r="K207">
        <v>0</v>
      </c>
      <c r="L207" s="1">
        <v>43232</v>
      </c>
      <c r="M207" t="s">
        <v>24</v>
      </c>
    </row>
    <row r="208" spans="1:13" ht="24" customHeight="1" x14ac:dyDescent="0.3">
      <c r="A208" t="s">
        <v>11</v>
      </c>
      <c r="B208">
        <v>1</v>
      </c>
      <c r="C208">
        <v>11</v>
      </c>
      <c r="D208">
        <v>4</v>
      </c>
      <c r="E208">
        <v>63</v>
      </c>
      <c r="F208">
        <v>0</v>
      </c>
      <c r="G208">
        <v>0</v>
      </c>
      <c r="H208">
        <v>44</v>
      </c>
      <c r="I208">
        <v>0</v>
      </c>
      <c r="J208">
        <v>3</v>
      </c>
      <c r="K208">
        <v>0</v>
      </c>
      <c r="L208" s="1">
        <v>42374</v>
      </c>
      <c r="M208" t="s">
        <v>2</v>
      </c>
    </row>
    <row r="209" spans="1:13" ht="24" customHeight="1" x14ac:dyDescent="0.3">
      <c r="A209" t="s">
        <v>11</v>
      </c>
      <c r="B209">
        <v>2</v>
      </c>
      <c r="C209">
        <v>13</v>
      </c>
      <c r="D209">
        <v>1</v>
      </c>
      <c r="E209">
        <v>43</v>
      </c>
      <c r="F209">
        <v>0</v>
      </c>
      <c r="G209">
        <v>0</v>
      </c>
      <c r="H209">
        <v>48</v>
      </c>
      <c r="I209">
        <v>0</v>
      </c>
      <c r="J209">
        <v>9</v>
      </c>
      <c r="K209">
        <v>1</v>
      </c>
      <c r="L209" s="1">
        <v>42441</v>
      </c>
      <c r="M209" t="s">
        <v>24</v>
      </c>
    </row>
    <row r="210" spans="1:13" ht="24" customHeight="1" x14ac:dyDescent="0.3">
      <c r="A210" t="s">
        <v>11</v>
      </c>
      <c r="B210">
        <v>2</v>
      </c>
      <c r="C210">
        <v>11</v>
      </c>
      <c r="D210">
        <v>0</v>
      </c>
      <c r="E210">
        <v>35</v>
      </c>
      <c r="F210">
        <v>0</v>
      </c>
      <c r="G210">
        <v>1</v>
      </c>
      <c r="H210">
        <v>32</v>
      </c>
      <c r="I210">
        <v>0</v>
      </c>
      <c r="J210">
        <v>3</v>
      </c>
      <c r="K210">
        <v>0</v>
      </c>
      <c r="L210" s="1">
        <v>42598</v>
      </c>
      <c r="M210" t="s">
        <v>25</v>
      </c>
    </row>
    <row r="211" spans="1:13" ht="24" customHeight="1" x14ac:dyDescent="0.3">
      <c r="A211" t="s">
        <v>11</v>
      </c>
      <c r="B211">
        <v>2</v>
      </c>
      <c r="C211">
        <v>11</v>
      </c>
      <c r="D211">
        <v>1</v>
      </c>
      <c r="E211">
        <v>47</v>
      </c>
      <c r="F211">
        <v>0</v>
      </c>
      <c r="G211">
        <v>0</v>
      </c>
      <c r="H211">
        <v>45</v>
      </c>
      <c r="I211">
        <v>0</v>
      </c>
      <c r="J211">
        <v>3</v>
      </c>
      <c r="K211">
        <v>0</v>
      </c>
      <c r="L211" s="1">
        <v>42631</v>
      </c>
      <c r="M211" t="s">
        <v>26</v>
      </c>
    </row>
    <row r="212" spans="1:13" ht="24" customHeight="1" x14ac:dyDescent="0.3">
      <c r="A212" t="s">
        <v>11</v>
      </c>
      <c r="B212">
        <v>4</v>
      </c>
      <c r="C212">
        <v>8</v>
      </c>
      <c r="D212">
        <v>3</v>
      </c>
      <c r="E212">
        <v>49</v>
      </c>
      <c r="F212">
        <v>1</v>
      </c>
      <c r="G212">
        <v>2</v>
      </c>
      <c r="H212">
        <v>47</v>
      </c>
      <c r="I212">
        <v>1</v>
      </c>
      <c r="J212">
        <v>4</v>
      </c>
      <c r="L212" s="1">
        <v>42790</v>
      </c>
      <c r="M212" t="s">
        <v>2</v>
      </c>
    </row>
    <row r="213" spans="1:13" ht="24" customHeight="1" x14ac:dyDescent="0.3">
      <c r="A213" t="s">
        <v>11</v>
      </c>
      <c r="B213">
        <v>3</v>
      </c>
      <c r="C213">
        <v>5</v>
      </c>
      <c r="D213">
        <v>1</v>
      </c>
      <c r="E213">
        <v>28</v>
      </c>
      <c r="F213">
        <v>0</v>
      </c>
      <c r="G213">
        <v>0</v>
      </c>
      <c r="H213">
        <v>28</v>
      </c>
      <c r="I213">
        <v>1</v>
      </c>
      <c r="J213">
        <v>1</v>
      </c>
      <c r="K213">
        <v>0</v>
      </c>
      <c r="L213" s="1">
        <v>42971</v>
      </c>
      <c r="M213" t="s">
        <v>26</v>
      </c>
    </row>
    <row r="214" spans="1:13" ht="24" customHeight="1" x14ac:dyDescent="0.3">
      <c r="A214" t="s">
        <v>11</v>
      </c>
      <c r="B214">
        <v>2</v>
      </c>
      <c r="C214">
        <v>6</v>
      </c>
      <c r="D214">
        <v>1</v>
      </c>
      <c r="E214">
        <v>43</v>
      </c>
      <c r="F214">
        <v>0</v>
      </c>
      <c r="G214">
        <v>1</v>
      </c>
      <c r="H214">
        <v>49</v>
      </c>
      <c r="I214">
        <v>0</v>
      </c>
      <c r="J214">
        <v>2</v>
      </c>
      <c r="K214">
        <v>0</v>
      </c>
      <c r="L214" s="1">
        <v>43145</v>
      </c>
      <c r="M214" t="s">
        <v>2</v>
      </c>
    </row>
    <row r="215" spans="1:13" ht="24" customHeight="1" x14ac:dyDescent="0.3">
      <c r="A215" t="s">
        <v>11</v>
      </c>
      <c r="B215">
        <v>2</v>
      </c>
      <c r="C215">
        <v>5</v>
      </c>
      <c r="D215">
        <v>0</v>
      </c>
      <c r="E215">
        <v>27</v>
      </c>
      <c r="F215">
        <v>0</v>
      </c>
      <c r="G215">
        <v>2</v>
      </c>
      <c r="H215">
        <v>34</v>
      </c>
      <c r="I215">
        <v>0</v>
      </c>
      <c r="J215">
        <v>2</v>
      </c>
      <c r="K215">
        <v>0</v>
      </c>
      <c r="L215" s="1">
        <v>43234</v>
      </c>
      <c r="M215" t="s">
        <v>24</v>
      </c>
    </row>
    <row r="216" spans="1:13" ht="24" customHeight="1" x14ac:dyDescent="0.3">
      <c r="A216" t="s">
        <v>11</v>
      </c>
      <c r="B216">
        <v>3</v>
      </c>
      <c r="C216">
        <v>4</v>
      </c>
      <c r="D216">
        <v>0</v>
      </c>
      <c r="E216">
        <v>36</v>
      </c>
      <c r="F216">
        <v>0</v>
      </c>
      <c r="G216">
        <v>3</v>
      </c>
      <c r="H216">
        <v>36</v>
      </c>
      <c r="I216">
        <v>1</v>
      </c>
      <c r="J216">
        <v>2</v>
      </c>
      <c r="K216">
        <v>0</v>
      </c>
      <c r="L216" s="1">
        <v>43234</v>
      </c>
      <c r="M216" t="s">
        <v>24</v>
      </c>
    </row>
    <row r="217" spans="1:13" ht="24" customHeight="1" x14ac:dyDescent="0.3">
      <c r="A217" t="s">
        <v>11</v>
      </c>
      <c r="B217">
        <v>4</v>
      </c>
      <c r="C217">
        <v>7</v>
      </c>
      <c r="D217">
        <v>1</v>
      </c>
      <c r="E217">
        <v>21</v>
      </c>
      <c r="F217">
        <v>1</v>
      </c>
      <c r="G217">
        <v>1</v>
      </c>
      <c r="H217">
        <v>32</v>
      </c>
      <c r="I217">
        <v>0</v>
      </c>
      <c r="J217">
        <v>2</v>
      </c>
      <c r="K217">
        <v>0</v>
      </c>
      <c r="L217" s="1">
        <v>43234</v>
      </c>
      <c r="M217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BDD1-227B-472D-87A0-4414345FA595}">
  <dimension ref="A1:G195"/>
  <sheetViews>
    <sheetView workbookViewId="0">
      <selection activeCell="B1" sqref="B1"/>
    </sheetView>
  </sheetViews>
  <sheetFormatPr defaultColWidth="12.77734375" defaultRowHeight="14.4" x14ac:dyDescent="0.3"/>
  <sheetData>
    <row r="1" spans="1:7" ht="43.2" x14ac:dyDescent="0.3">
      <c r="A1" s="3" t="s">
        <v>0</v>
      </c>
      <c r="B1" s="2" t="s">
        <v>64</v>
      </c>
      <c r="C1" s="2" t="s">
        <v>65</v>
      </c>
      <c r="D1" s="2" t="s">
        <v>67</v>
      </c>
      <c r="E1" s="2" t="s">
        <v>66</v>
      </c>
      <c r="F1" s="3" t="s">
        <v>52</v>
      </c>
      <c r="G1" s="2" t="s">
        <v>53</v>
      </c>
    </row>
    <row r="2" spans="1:7" x14ac:dyDescent="0.3">
      <c r="A2" t="s">
        <v>13</v>
      </c>
      <c r="B2">
        <v>401</v>
      </c>
      <c r="C2">
        <v>49</v>
      </c>
      <c r="D2">
        <v>12</v>
      </c>
      <c r="E2">
        <v>172</v>
      </c>
      <c r="F2" s="1">
        <v>42402</v>
      </c>
      <c r="G2" t="s">
        <v>2</v>
      </c>
    </row>
    <row r="3" spans="1:7" x14ac:dyDescent="0.3">
      <c r="A3" t="s">
        <v>13</v>
      </c>
      <c r="B3">
        <v>338</v>
      </c>
      <c r="C3">
        <v>25</v>
      </c>
      <c r="D3">
        <v>9</v>
      </c>
      <c r="E3">
        <v>223</v>
      </c>
      <c r="F3" s="1">
        <v>42792</v>
      </c>
      <c r="G3" t="s">
        <v>2</v>
      </c>
    </row>
    <row r="4" spans="1:7" x14ac:dyDescent="0.3">
      <c r="A4" t="s">
        <v>13</v>
      </c>
      <c r="B4">
        <v>138</v>
      </c>
      <c r="C4">
        <v>4</v>
      </c>
      <c r="D4">
        <v>2</v>
      </c>
      <c r="E4">
        <v>248</v>
      </c>
      <c r="F4" s="1">
        <v>42924</v>
      </c>
      <c r="G4" t="s">
        <v>24</v>
      </c>
    </row>
    <row r="5" spans="1:7" x14ac:dyDescent="0.3">
      <c r="A5" t="s">
        <v>13</v>
      </c>
      <c r="B5">
        <v>158</v>
      </c>
      <c r="C5">
        <v>2</v>
      </c>
      <c r="D5">
        <v>2</v>
      </c>
      <c r="E5">
        <v>237</v>
      </c>
      <c r="F5" s="1">
        <v>42973</v>
      </c>
      <c r="G5" t="s">
        <v>25</v>
      </c>
    </row>
    <row r="6" spans="1:7" x14ac:dyDescent="0.3">
      <c r="A6" t="s">
        <v>13</v>
      </c>
      <c r="B6">
        <v>199</v>
      </c>
      <c r="C6">
        <v>4</v>
      </c>
      <c r="D6">
        <v>0</v>
      </c>
      <c r="E6">
        <v>237</v>
      </c>
      <c r="F6" s="1">
        <v>42973</v>
      </c>
      <c r="G6" t="s">
        <v>26</v>
      </c>
    </row>
    <row r="7" spans="1:7" x14ac:dyDescent="0.3">
      <c r="A7" t="s">
        <v>13</v>
      </c>
      <c r="B7">
        <v>197</v>
      </c>
      <c r="C7">
        <v>13</v>
      </c>
      <c r="D7">
        <v>1</v>
      </c>
      <c r="E7">
        <v>212</v>
      </c>
      <c r="F7" s="1">
        <v>43147</v>
      </c>
      <c r="G7" t="s">
        <v>2</v>
      </c>
    </row>
    <row r="8" spans="1:7" x14ac:dyDescent="0.3">
      <c r="A8" t="s">
        <v>13</v>
      </c>
      <c r="B8">
        <v>145</v>
      </c>
      <c r="C8">
        <v>4</v>
      </c>
      <c r="D8">
        <v>1</v>
      </c>
      <c r="E8">
        <v>188</v>
      </c>
      <c r="F8" s="1">
        <v>43236</v>
      </c>
      <c r="G8" t="s">
        <v>24</v>
      </c>
    </row>
    <row r="9" spans="1:7" x14ac:dyDescent="0.3">
      <c r="A9" t="s">
        <v>13</v>
      </c>
      <c r="B9">
        <v>197</v>
      </c>
      <c r="C9">
        <v>7</v>
      </c>
      <c r="D9">
        <v>1</v>
      </c>
      <c r="E9">
        <v>188</v>
      </c>
      <c r="F9" s="1">
        <v>43236</v>
      </c>
      <c r="G9" t="s">
        <v>24</v>
      </c>
    </row>
    <row r="10" spans="1:7" x14ac:dyDescent="0.3">
      <c r="A10" t="s">
        <v>13</v>
      </c>
      <c r="B10">
        <v>110</v>
      </c>
      <c r="C10">
        <v>8</v>
      </c>
      <c r="D10">
        <v>1</v>
      </c>
      <c r="E10">
        <v>231</v>
      </c>
      <c r="F10" s="1">
        <v>43236</v>
      </c>
      <c r="G10" t="s">
        <v>24</v>
      </c>
    </row>
    <row r="11" spans="1:7" x14ac:dyDescent="0.3">
      <c r="A11" t="s">
        <v>20</v>
      </c>
      <c r="B11">
        <v>55</v>
      </c>
      <c r="C11">
        <v>0</v>
      </c>
      <c r="D11">
        <v>1</v>
      </c>
      <c r="E11">
        <v>18</v>
      </c>
      <c r="F11" s="1">
        <v>42402</v>
      </c>
      <c r="G11" t="s">
        <v>2</v>
      </c>
    </row>
    <row r="12" spans="1:7" x14ac:dyDescent="0.3">
      <c r="A12" t="s">
        <v>20</v>
      </c>
      <c r="B12">
        <v>13</v>
      </c>
      <c r="C12">
        <v>0</v>
      </c>
      <c r="D12">
        <v>0</v>
      </c>
      <c r="E12">
        <v>38</v>
      </c>
      <c r="F12" s="1">
        <v>42799</v>
      </c>
      <c r="G12" t="s">
        <v>2</v>
      </c>
    </row>
    <row r="13" spans="1:7" x14ac:dyDescent="0.3">
      <c r="A13" t="s">
        <v>20</v>
      </c>
      <c r="B13">
        <v>4</v>
      </c>
      <c r="C13">
        <v>0</v>
      </c>
      <c r="D13">
        <v>1</v>
      </c>
      <c r="E13">
        <v>31</v>
      </c>
      <c r="F13" s="1">
        <v>42924</v>
      </c>
      <c r="G13" t="s">
        <v>24</v>
      </c>
    </row>
    <row r="14" spans="1:7" x14ac:dyDescent="0.3">
      <c r="A14" t="s">
        <v>20</v>
      </c>
      <c r="B14">
        <v>16</v>
      </c>
      <c r="C14">
        <v>0</v>
      </c>
      <c r="D14">
        <v>3</v>
      </c>
      <c r="E14">
        <v>3</v>
      </c>
      <c r="F14" s="1">
        <v>42979</v>
      </c>
      <c r="G14" t="s">
        <v>25</v>
      </c>
    </row>
    <row r="15" spans="1:7" x14ac:dyDescent="0.3">
      <c r="A15" t="s">
        <v>20</v>
      </c>
      <c r="B15">
        <v>25</v>
      </c>
      <c r="C15">
        <v>0</v>
      </c>
      <c r="D15">
        <v>0</v>
      </c>
      <c r="E15">
        <v>24</v>
      </c>
      <c r="F15" s="1">
        <v>42980</v>
      </c>
      <c r="G15" t="s">
        <v>26</v>
      </c>
    </row>
    <row r="16" spans="1:7" x14ac:dyDescent="0.3">
      <c r="A16" t="s">
        <v>20</v>
      </c>
      <c r="B16">
        <v>32</v>
      </c>
      <c r="C16">
        <v>1</v>
      </c>
      <c r="D16">
        <v>1</v>
      </c>
      <c r="E16">
        <v>10</v>
      </c>
      <c r="F16" s="1">
        <v>43154</v>
      </c>
      <c r="G16" t="s">
        <v>2</v>
      </c>
    </row>
    <row r="17" spans="1:7" x14ac:dyDescent="0.3">
      <c r="A17" t="s">
        <v>20</v>
      </c>
      <c r="B17">
        <v>20</v>
      </c>
      <c r="C17">
        <v>0</v>
      </c>
      <c r="D17">
        <v>0</v>
      </c>
      <c r="E17">
        <v>17</v>
      </c>
      <c r="F17" s="1">
        <v>43243</v>
      </c>
      <c r="G17" t="s">
        <v>24</v>
      </c>
    </row>
    <row r="18" spans="1:7" x14ac:dyDescent="0.3">
      <c r="A18" t="s">
        <v>20</v>
      </c>
      <c r="B18">
        <v>6</v>
      </c>
      <c r="C18">
        <v>0</v>
      </c>
      <c r="D18">
        <v>0</v>
      </c>
      <c r="E18">
        <v>24</v>
      </c>
      <c r="F18" s="1">
        <v>43243</v>
      </c>
      <c r="G18" t="s">
        <v>24</v>
      </c>
    </row>
    <row r="19" spans="1:7" x14ac:dyDescent="0.3">
      <c r="A19" t="s">
        <v>20</v>
      </c>
      <c r="B19">
        <v>9</v>
      </c>
      <c r="C19">
        <v>0</v>
      </c>
      <c r="D19">
        <v>0</v>
      </c>
      <c r="E19">
        <v>34</v>
      </c>
      <c r="F19" s="1">
        <v>43243</v>
      </c>
      <c r="G19" t="s">
        <v>24</v>
      </c>
    </row>
    <row r="20" spans="1:7" x14ac:dyDescent="0.3">
      <c r="A20" t="s">
        <v>14</v>
      </c>
      <c r="B20">
        <v>3</v>
      </c>
      <c r="C20">
        <v>2</v>
      </c>
      <c r="D20">
        <v>0</v>
      </c>
      <c r="E20">
        <v>16</v>
      </c>
      <c r="F20" s="1">
        <v>42402</v>
      </c>
      <c r="G20" t="s">
        <v>2</v>
      </c>
    </row>
    <row r="21" spans="1:7" x14ac:dyDescent="0.3">
      <c r="A21" t="s">
        <v>14</v>
      </c>
      <c r="B21">
        <v>5</v>
      </c>
      <c r="C21">
        <v>0</v>
      </c>
      <c r="D21">
        <v>1</v>
      </c>
      <c r="E21">
        <v>12</v>
      </c>
      <c r="F21" s="1">
        <v>42793</v>
      </c>
      <c r="G21" t="s">
        <v>2</v>
      </c>
    </row>
    <row r="22" spans="1:7" x14ac:dyDescent="0.3">
      <c r="A22" t="s">
        <v>14</v>
      </c>
      <c r="B22">
        <v>1</v>
      </c>
      <c r="C22">
        <v>0</v>
      </c>
      <c r="D22">
        <v>0</v>
      </c>
      <c r="E22">
        <v>2</v>
      </c>
      <c r="F22" s="1">
        <v>42924</v>
      </c>
      <c r="G22" t="s">
        <v>24</v>
      </c>
    </row>
    <row r="23" spans="1:7" x14ac:dyDescent="0.3">
      <c r="A23" t="s">
        <v>14</v>
      </c>
      <c r="B23">
        <v>0</v>
      </c>
      <c r="C23">
        <v>1</v>
      </c>
      <c r="D23">
        <v>0</v>
      </c>
      <c r="E23">
        <v>0</v>
      </c>
      <c r="F23" s="1">
        <v>42974</v>
      </c>
      <c r="G23" t="s">
        <v>25</v>
      </c>
    </row>
    <row r="24" spans="1:7" x14ac:dyDescent="0.3">
      <c r="A24" t="s">
        <v>14</v>
      </c>
      <c r="B24">
        <v>0</v>
      </c>
      <c r="C24">
        <v>0</v>
      </c>
      <c r="D24">
        <v>0</v>
      </c>
      <c r="E24">
        <v>1</v>
      </c>
      <c r="F24" s="1">
        <v>42974</v>
      </c>
      <c r="G24" t="s">
        <v>26</v>
      </c>
    </row>
    <row r="25" spans="1:7" x14ac:dyDescent="0.3">
      <c r="A25" t="s">
        <v>14</v>
      </c>
      <c r="B25">
        <v>3</v>
      </c>
      <c r="C25">
        <v>0</v>
      </c>
      <c r="D25">
        <v>0</v>
      </c>
      <c r="E25">
        <v>3</v>
      </c>
      <c r="F25" s="1">
        <v>43148</v>
      </c>
      <c r="G25" t="s">
        <v>2</v>
      </c>
    </row>
    <row r="26" spans="1:7" x14ac:dyDescent="0.3">
      <c r="A26" t="s">
        <v>14</v>
      </c>
      <c r="B26">
        <v>1</v>
      </c>
      <c r="C26">
        <v>0</v>
      </c>
      <c r="D26">
        <v>1</v>
      </c>
      <c r="E26">
        <v>1</v>
      </c>
      <c r="F26" s="1">
        <v>43237</v>
      </c>
      <c r="G26" t="s">
        <v>24</v>
      </c>
    </row>
    <row r="27" spans="1:7" x14ac:dyDescent="0.3">
      <c r="A27" t="s">
        <v>14</v>
      </c>
      <c r="B27">
        <v>0</v>
      </c>
      <c r="C27">
        <v>0</v>
      </c>
      <c r="D27">
        <v>0</v>
      </c>
      <c r="E27">
        <v>1</v>
      </c>
      <c r="F27" s="1">
        <v>43237</v>
      </c>
      <c r="G27" t="s">
        <v>24</v>
      </c>
    </row>
    <row r="28" spans="1:7" x14ac:dyDescent="0.3">
      <c r="A28" t="s">
        <v>14</v>
      </c>
      <c r="B28">
        <v>1</v>
      </c>
      <c r="C28">
        <v>0</v>
      </c>
      <c r="D28">
        <v>0</v>
      </c>
      <c r="E28">
        <v>30</v>
      </c>
      <c r="F28" s="1">
        <v>43237</v>
      </c>
      <c r="G28" t="s">
        <v>24</v>
      </c>
    </row>
    <row r="29" spans="1:7" x14ac:dyDescent="0.3">
      <c r="A29" t="s">
        <v>5</v>
      </c>
      <c r="B29">
        <v>4</v>
      </c>
      <c r="C29">
        <v>1</v>
      </c>
      <c r="D29">
        <v>4</v>
      </c>
      <c r="E29">
        <v>18</v>
      </c>
      <c r="F29" s="1">
        <v>42402</v>
      </c>
      <c r="G29" t="s">
        <v>2</v>
      </c>
    </row>
    <row r="30" spans="1:7" x14ac:dyDescent="0.3">
      <c r="A30" t="s">
        <v>5</v>
      </c>
      <c r="B30">
        <v>52</v>
      </c>
      <c r="C30">
        <v>1</v>
      </c>
      <c r="D30">
        <v>2</v>
      </c>
      <c r="E30">
        <v>7</v>
      </c>
      <c r="F30" s="1">
        <v>42784</v>
      </c>
      <c r="G30" t="s">
        <v>2</v>
      </c>
    </row>
    <row r="31" spans="1:7" x14ac:dyDescent="0.3">
      <c r="A31" t="s">
        <v>5</v>
      </c>
      <c r="B31">
        <v>2</v>
      </c>
      <c r="C31">
        <v>1</v>
      </c>
      <c r="D31">
        <v>0</v>
      </c>
      <c r="E31">
        <v>10</v>
      </c>
      <c r="F31" s="1">
        <v>42924</v>
      </c>
      <c r="G31" t="s">
        <v>24</v>
      </c>
    </row>
    <row r="32" spans="1:7" x14ac:dyDescent="0.3">
      <c r="A32" t="s">
        <v>5</v>
      </c>
      <c r="B32">
        <v>2</v>
      </c>
      <c r="C32">
        <v>1</v>
      </c>
      <c r="D32">
        <v>1</v>
      </c>
      <c r="E32">
        <v>16</v>
      </c>
      <c r="F32" s="1">
        <v>42965</v>
      </c>
      <c r="G32" t="s">
        <v>25</v>
      </c>
    </row>
    <row r="33" spans="1:7" x14ac:dyDescent="0.3">
      <c r="A33" t="s">
        <v>5</v>
      </c>
      <c r="B33">
        <v>15</v>
      </c>
      <c r="C33">
        <v>0</v>
      </c>
      <c r="D33">
        <v>0</v>
      </c>
      <c r="E33">
        <v>9</v>
      </c>
      <c r="F33" s="1">
        <v>42965</v>
      </c>
      <c r="G33" t="s">
        <v>26</v>
      </c>
    </row>
    <row r="34" spans="1:7" x14ac:dyDescent="0.3">
      <c r="A34" t="s">
        <v>5</v>
      </c>
      <c r="B34">
        <v>1</v>
      </c>
      <c r="C34">
        <v>1</v>
      </c>
      <c r="D34">
        <v>1</v>
      </c>
      <c r="E34">
        <v>31</v>
      </c>
      <c r="F34" s="1">
        <v>43139</v>
      </c>
      <c r="G34" t="s">
        <v>2</v>
      </c>
    </row>
    <row r="35" spans="1:7" x14ac:dyDescent="0.3">
      <c r="A35" t="s">
        <v>5</v>
      </c>
      <c r="B35">
        <v>1</v>
      </c>
      <c r="C35">
        <v>0</v>
      </c>
      <c r="D35">
        <v>1</v>
      </c>
      <c r="E35">
        <v>18</v>
      </c>
      <c r="F35" s="1">
        <v>43228</v>
      </c>
      <c r="G35" t="s">
        <v>24</v>
      </c>
    </row>
    <row r="36" spans="1:7" x14ac:dyDescent="0.3">
      <c r="A36" t="s">
        <v>5</v>
      </c>
      <c r="B36">
        <v>0</v>
      </c>
      <c r="C36">
        <v>1</v>
      </c>
      <c r="D36">
        <v>0</v>
      </c>
      <c r="E36">
        <v>26</v>
      </c>
      <c r="F36" s="1">
        <v>43228</v>
      </c>
      <c r="G36" t="s">
        <v>24</v>
      </c>
    </row>
    <row r="37" spans="1:7" x14ac:dyDescent="0.3">
      <c r="A37" t="s">
        <v>5</v>
      </c>
      <c r="B37">
        <v>6</v>
      </c>
      <c r="C37">
        <v>1</v>
      </c>
      <c r="D37">
        <v>1</v>
      </c>
      <c r="E37">
        <v>14</v>
      </c>
      <c r="F37" s="1">
        <v>43228</v>
      </c>
      <c r="G37" t="s">
        <v>24</v>
      </c>
    </row>
    <row r="38" spans="1:7" x14ac:dyDescent="0.3">
      <c r="A38" t="s">
        <v>3</v>
      </c>
      <c r="B38">
        <v>103</v>
      </c>
      <c r="C38">
        <v>26</v>
      </c>
      <c r="D38">
        <v>5</v>
      </c>
      <c r="E38">
        <v>69</v>
      </c>
      <c r="F38" s="1">
        <v>42402</v>
      </c>
      <c r="G38" t="s">
        <v>2</v>
      </c>
    </row>
    <row r="39" spans="1:7" x14ac:dyDescent="0.3">
      <c r="A39" t="s">
        <v>3</v>
      </c>
      <c r="B39">
        <v>155</v>
      </c>
      <c r="C39">
        <v>24</v>
      </c>
      <c r="D39">
        <v>0</v>
      </c>
      <c r="E39">
        <v>107</v>
      </c>
      <c r="F39" s="1">
        <v>42782</v>
      </c>
      <c r="G39" t="s">
        <v>2</v>
      </c>
    </row>
    <row r="40" spans="1:7" x14ac:dyDescent="0.3">
      <c r="A40" t="s">
        <v>3</v>
      </c>
      <c r="B40">
        <v>52</v>
      </c>
      <c r="C40">
        <v>4</v>
      </c>
      <c r="D40">
        <v>0</v>
      </c>
      <c r="E40">
        <v>111</v>
      </c>
      <c r="F40" s="1">
        <v>42924</v>
      </c>
      <c r="G40" t="s">
        <v>24</v>
      </c>
    </row>
    <row r="41" spans="1:7" x14ac:dyDescent="0.3">
      <c r="A41" t="s">
        <v>3</v>
      </c>
      <c r="B41">
        <v>63</v>
      </c>
      <c r="C41">
        <v>9</v>
      </c>
      <c r="D41">
        <v>1</v>
      </c>
      <c r="E41">
        <v>112</v>
      </c>
      <c r="F41" s="1">
        <v>42963</v>
      </c>
      <c r="G41" t="s">
        <v>25</v>
      </c>
    </row>
    <row r="42" spans="1:7" x14ac:dyDescent="0.3">
      <c r="A42" t="s">
        <v>3</v>
      </c>
      <c r="B42">
        <v>40</v>
      </c>
      <c r="C42">
        <v>4</v>
      </c>
      <c r="D42">
        <v>0</v>
      </c>
      <c r="E42">
        <v>154</v>
      </c>
      <c r="F42" s="1">
        <v>42963</v>
      </c>
      <c r="G42" t="s">
        <v>26</v>
      </c>
    </row>
    <row r="43" spans="1:7" x14ac:dyDescent="0.3">
      <c r="A43" t="s">
        <v>3</v>
      </c>
      <c r="B43">
        <v>25</v>
      </c>
      <c r="C43">
        <v>10</v>
      </c>
      <c r="D43">
        <v>1</v>
      </c>
      <c r="E43">
        <v>168</v>
      </c>
      <c r="F43" s="1">
        <v>43137</v>
      </c>
      <c r="G43" t="s">
        <v>2</v>
      </c>
    </row>
    <row r="44" spans="1:7" x14ac:dyDescent="0.3">
      <c r="A44" t="s">
        <v>3</v>
      </c>
      <c r="B44">
        <v>9</v>
      </c>
      <c r="C44">
        <v>6</v>
      </c>
      <c r="D44">
        <v>2</v>
      </c>
      <c r="E44">
        <v>135</v>
      </c>
      <c r="F44" s="1">
        <v>43226</v>
      </c>
      <c r="G44" t="s">
        <v>24</v>
      </c>
    </row>
    <row r="45" spans="1:7" x14ac:dyDescent="0.3">
      <c r="A45" t="s">
        <v>3</v>
      </c>
      <c r="B45">
        <v>47</v>
      </c>
      <c r="C45">
        <v>9</v>
      </c>
      <c r="D45">
        <v>1</v>
      </c>
      <c r="E45">
        <v>116</v>
      </c>
      <c r="F45" s="1">
        <v>43226</v>
      </c>
      <c r="G45" t="s">
        <v>24</v>
      </c>
    </row>
    <row r="46" spans="1:7" x14ac:dyDescent="0.3">
      <c r="A46" t="s">
        <v>3</v>
      </c>
      <c r="B46">
        <v>47</v>
      </c>
      <c r="C46">
        <v>9</v>
      </c>
      <c r="D46">
        <v>5</v>
      </c>
      <c r="E46">
        <v>115</v>
      </c>
      <c r="F46" s="1">
        <v>43226</v>
      </c>
      <c r="G46" t="s">
        <v>24</v>
      </c>
    </row>
    <row r="47" spans="1:7" x14ac:dyDescent="0.3">
      <c r="A47" t="s">
        <v>10</v>
      </c>
      <c r="B47">
        <v>306</v>
      </c>
      <c r="C47">
        <v>58</v>
      </c>
      <c r="D47">
        <v>8</v>
      </c>
      <c r="E47">
        <v>24</v>
      </c>
      <c r="F47" s="1">
        <v>42402</v>
      </c>
      <c r="G47" t="s">
        <v>2</v>
      </c>
    </row>
    <row r="48" spans="1:7" x14ac:dyDescent="0.3">
      <c r="A48" t="s">
        <v>10</v>
      </c>
      <c r="B48">
        <v>160</v>
      </c>
      <c r="C48">
        <v>37</v>
      </c>
      <c r="D48">
        <v>3</v>
      </c>
      <c r="E48">
        <v>43</v>
      </c>
      <c r="F48" s="1">
        <v>42789</v>
      </c>
      <c r="G48" t="s">
        <v>2</v>
      </c>
    </row>
    <row r="49" spans="1:7" x14ac:dyDescent="0.3">
      <c r="A49" t="s">
        <v>10</v>
      </c>
      <c r="B49">
        <v>49</v>
      </c>
      <c r="C49">
        <v>1</v>
      </c>
      <c r="D49">
        <v>0</v>
      </c>
      <c r="E49">
        <v>89</v>
      </c>
      <c r="F49" s="1">
        <v>42924</v>
      </c>
      <c r="G49" t="s">
        <v>24</v>
      </c>
    </row>
    <row r="50" spans="1:7" x14ac:dyDescent="0.3">
      <c r="A50" t="s">
        <v>10</v>
      </c>
      <c r="B50">
        <v>75</v>
      </c>
      <c r="C50">
        <v>5</v>
      </c>
      <c r="D50">
        <v>0</v>
      </c>
      <c r="E50">
        <v>45</v>
      </c>
      <c r="F50" s="1">
        <v>42970</v>
      </c>
      <c r="G50" t="s">
        <v>25</v>
      </c>
    </row>
    <row r="51" spans="1:7" x14ac:dyDescent="0.3">
      <c r="A51" t="s">
        <v>10</v>
      </c>
      <c r="B51">
        <v>67</v>
      </c>
      <c r="C51">
        <v>6</v>
      </c>
      <c r="D51">
        <v>1</v>
      </c>
      <c r="E51">
        <v>44</v>
      </c>
      <c r="F51" s="1">
        <v>42970</v>
      </c>
      <c r="G51" t="s">
        <v>26</v>
      </c>
    </row>
    <row r="52" spans="1:7" x14ac:dyDescent="0.3">
      <c r="A52" t="s">
        <v>10</v>
      </c>
      <c r="B52">
        <v>51</v>
      </c>
      <c r="C52">
        <v>10</v>
      </c>
      <c r="D52">
        <v>1</v>
      </c>
      <c r="E52">
        <v>73</v>
      </c>
      <c r="F52" s="1">
        <v>43144</v>
      </c>
      <c r="G52" t="s">
        <v>2</v>
      </c>
    </row>
    <row r="53" spans="1:7" x14ac:dyDescent="0.3">
      <c r="A53" t="s">
        <v>10</v>
      </c>
      <c r="B53">
        <v>28</v>
      </c>
      <c r="C53">
        <v>0</v>
      </c>
      <c r="D53">
        <v>1</v>
      </c>
      <c r="E53">
        <v>97</v>
      </c>
      <c r="F53" s="1">
        <v>43233</v>
      </c>
      <c r="G53" t="s">
        <v>24</v>
      </c>
    </row>
    <row r="54" spans="1:7" x14ac:dyDescent="0.3">
      <c r="A54" t="s">
        <v>10</v>
      </c>
      <c r="B54">
        <v>60</v>
      </c>
      <c r="C54">
        <v>2</v>
      </c>
      <c r="D54">
        <v>0</v>
      </c>
      <c r="E54">
        <v>57</v>
      </c>
      <c r="F54" s="1">
        <v>43233</v>
      </c>
      <c r="G54" t="s">
        <v>24</v>
      </c>
    </row>
    <row r="55" spans="1:7" x14ac:dyDescent="0.3">
      <c r="A55" t="s">
        <v>10</v>
      </c>
      <c r="B55">
        <v>46</v>
      </c>
      <c r="C55">
        <v>14</v>
      </c>
      <c r="D55">
        <v>0</v>
      </c>
      <c r="E55">
        <v>81</v>
      </c>
      <c r="F55" s="1">
        <v>43233</v>
      </c>
      <c r="G55" t="s">
        <v>24</v>
      </c>
    </row>
    <row r="56" spans="1:7" x14ac:dyDescent="0.3">
      <c r="A56" t="s">
        <v>18</v>
      </c>
      <c r="B56">
        <v>218</v>
      </c>
      <c r="C56">
        <v>31</v>
      </c>
      <c r="D56">
        <v>9</v>
      </c>
      <c r="E56">
        <v>477</v>
      </c>
      <c r="F56" s="1">
        <v>42402</v>
      </c>
      <c r="G56" t="s">
        <v>2</v>
      </c>
    </row>
    <row r="57" spans="1:7" x14ac:dyDescent="0.3">
      <c r="A57" t="s">
        <v>18</v>
      </c>
      <c r="B57">
        <v>223</v>
      </c>
      <c r="C57">
        <v>23</v>
      </c>
      <c r="D57">
        <v>9</v>
      </c>
      <c r="E57">
        <v>404</v>
      </c>
      <c r="F57" s="1">
        <v>42797</v>
      </c>
      <c r="G57" t="s">
        <v>2</v>
      </c>
    </row>
    <row r="58" spans="1:7" x14ac:dyDescent="0.3">
      <c r="A58" t="s">
        <v>18</v>
      </c>
      <c r="B58">
        <v>43</v>
      </c>
      <c r="C58">
        <v>8</v>
      </c>
      <c r="D58">
        <v>1</v>
      </c>
      <c r="E58">
        <v>374</v>
      </c>
      <c r="F58" s="1">
        <v>42924</v>
      </c>
      <c r="G58" t="s">
        <v>24</v>
      </c>
    </row>
    <row r="59" spans="1:7" x14ac:dyDescent="0.3">
      <c r="A59" t="s">
        <v>18</v>
      </c>
      <c r="B59">
        <v>14</v>
      </c>
      <c r="C59">
        <v>5</v>
      </c>
      <c r="D59">
        <v>2</v>
      </c>
      <c r="E59">
        <v>339</v>
      </c>
      <c r="F59" s="1">
        <v>42977</v>
      </c>
      <c r="G59" t="s">
        <v>25</v>
      </c>
    </row>
    <row r="60" spans="1:7" x14ac:dyDescent="0.3">
      <c r="A60" t="s">
        <v>18</v>
      </c>
      <c r="B60">
        <v>73</v>
      </c>
      <c r="C60">
        <v>3</v>
      </c>
      <c r="D60">
        <v>4</v>
      </c>
      <c r="E60">
        <v>406</v>
      </c>
      <c r="F60" s="1">
        <v>42978</v>
      </c>
      <c r="G60" t="s">
        <v>26</v>
      </c>
    </row>
    <row r="61" spans="1:7" x14ac:dyDescent="0.3">
      <c r="A61" t="s">
        <v>18</v>
      </c>
      <c r="B61">
        <v>33</v>
      </c>
      <c r="C61">
        <v>8</v>
      </c>
      <c r="D61">
        <v>2</v>
      </c>
      <c r="E61">
        <v>327</v>
      </c>
      <c r="F61" s="1">
        <v>43152</v>
      </c>
      <c r="G61" t="s">
        <v>2</v>
      </c>
    </row>
    <row r="62" spans="1:7" x14ac:dyDescent="0.3">
      <c r="A62" t="s">
        <v>18</v>
      </c>
      <c r="B62">
        <v>25</v>
      </c>
      <c r="C62">
        <v>1</v>
      </c>
      <c r="D62">
        <v>0</v>
      </c>
      <c r="E62">
        <v>273</v>
      </c>
      <c r="F62" s="1">
        <v>43241</v>
      </c>
      <c r="G62" t="s">
        <v>24</v>
      </c>
    </row>
    <row r="63" spans="1:7" x14ac:dyDescent="0.3">
      <c r="A63" t="s">
        <v>18</v>
      </c>
      <c r="B63">
        <v>29</v>
      </c>
      <c r="C63">
        <v>4</v>
      </c>
      <c r="D63">
        <v>0</v>
      </c>
      <c r="E63">
        <v>305</v>
      </c>
      <c r="F63" s="1">
        <v>43241</v>
      </c>
      <c r="G63" t="s">
        <v>24</v>
      </c>
    </row>
    <row r="64" spans="1:7" x14ac:dyDescent="0.3">
      <c r="A64" t="s">
        <v>18</v>
      </c>
      <c r="B64">
        <v>35</v>
      </c>
      <c r="C64">
        <v>7</v>
      </c>
      <c r="D64">
        <v>2</v>
      </c>
      <c r="E64">
        <v>296</v>
      </c>
      <c r="F64" s="1">
        <v>43241</v>
      </c>
      <c r="G64" t="s">
        <v>24</v>
      </c>
    </row>
    <row r="65" spans="1:7" x14ac:dyDescent="0.3">
      <c r="A65" t="s">
        <v>22</v>
      </c>
      <c r="B65">
        <v>0</v>
      </c>
      <c r="C65">
        <v>7</v>
      </c>
      <c r="D65">
        <v>0</v>
      </c>
      <c r="E65">
        <v>6</v>
      </c>
      <c r="F65" s="1">
        <v>42402</v>
      </c>
      <c r="G65" t="s">
        <v>2</v>
      </c>
    </row>
    <row r="66" spans="1:7" x14ac:dyDescent="0.3">
      <c r="A66" t="s">
        <v>22</v>
      </c>
      <c r="B66">
        <v>4</v>
      </c>
      <c r="C66">
        <v>6</v>
      </c>
      <c r="D66">
        <v>1</v>
      </c>
      <c r="E66">
        <v>2</v>
      </c>
      <c r="F66" s="1">
        <v>42801</v>
      </c>
      <c r="G66" t="s">
        <v>2</v>
      </c>
    </row>
    <row r="67" spans="1:7" x14ac:dyDescent="0.3">
      <c r="A67" t="s">
        <v>22</v>
      </c>
      <c r="B67">
        <v>0</v>
      </c>
      <c r="C67">
        <v>0</v>
      </c>
      <c r="D67">
        <v>0</v>
      </c>
      <c r="E67">
        <v>3</v>
      </c>
      <c r="F67" s="1">
        <v>42924</v>
      </c>
      <c r="G67" t="s">
        <v>24</v>
      </c>
    </row>
    <row r="68" spans="1:7" x14ac:dyDescent="0.3">
      <c r="A68" t="s">
        <v>22</v>
      </c>
      <c r="B68">
        <v>0</v>
      </c>
      <c r="C68">
        <v>1</v>
      </c>
      <c r="D68">
        <v>0</v>
      </c>
      <c r="E68">
        <v>2</v>
      </c>
      <c r="F68" s="1">
        <v>42981</v>
      </c>
      <c r="G68" t="s">
        <v>25</v>
      </c>
    </row>
    <row r="69" spans="1:7" x14ac:dyDescent="0.3">
      <c r="A69" t="s">
        <v>22</v>
      </c>
      <c r="B69">
        <v>2</v>
      </c>
      <c r="C69">
        <v>1</v>
      </c>
      <c r="D69">
        <v>0</v>
      </c>
      <c r="E69">
        <v>1</v>
      </c>
      <c r="F69" s="1">
        <v>42982</v>
      </c>
      <c r="G69" t="s">
        <v>26</v>
      </c>
    </row>
    <row r="70" spans="1:7" x14ac:dyDescent="0.3">
      <c r="A70" t="s">
        <v>22</v>
      </c>
      <c r="B70">
        <v>1</v>
      </c>
      <c r="C70">
        <v>3</v>
      </c>
      <c r="D70">
        <v>0</v>
      </c>
      <c r="E70">
        <v>8</v>
      </c>
      <c r="F70" s="1">
        <v>43156</v>
      </c>
      <c r="G70" t="s">
        <v>2</v>
      </c>
    </row>
    <row r="71" spans="1:7" x14ac:dyDescent="0.3">
      <c r="A71" t="s">
        <v>22</v>
      </c>
      <c r="B71">
        <v>0</v>
      </c>
      <c r="C71">
        <v>0</v>
      </c>
      <c r="D71">
        <v>0</v>
      </c>
      <c r="E71">
        <v>4</v>
      </c>
      <c r="F71" s="1">
        <v>43245</v>
      </c>
      <c r="G71" t="s">
        <v>24</v>
      </c>
    </row>
    <row r="72" spans="1:7" x14ac:dyDescent="0.3">
      <c r="A72" t="s">
        <v>22</v>
      </c>
      <c r="B72">
        <v>1</v>
      </c>
      <c r="C72">
        <v>2</v>
      </c>
      <c r="D72">
        <v>0</v>
      </c>
      <c r="E72">
        <v>11</v>
      </c>
      <c r="F72" s="1">
        <v>43245</v>
      </c>
      <c r="G72" t="s">
        <v>24</v>
      </c>
    </row>
    <row r="73" spans="1:7" x14ac:dyDescent="0.3">
      <c r="A73" t="s">
        <v>22</v>
      </c>
      <c r="B73">
        <v>4</v>
      </c>
      <c r="C73">
        <v>0</v>
      </c>
      <c r="D73">
        <v>1</v>
      </c>
      <c r="E73">
        <v>17</v>
      </c>
      <c r="F73" s="1">
        <v>43245</v>
      </c>
      <c r="G73" t="s">
        <v>24</v>
      </c>
    </row>
    <row r="74" spans="1:7" x14ac:dyDescent="0.3">
      <c r="A74" t="s">
        <v>23</v>
      </c>
      <c r="B74">
        <v>1</v>
      </c>
      <c r="C74">
        <v>0</v>
      </c>
      <c r="D74">
        <v>0</v>
      </c>
      <c r="E74">
        <v>3</v>
      </c>
      <c r="F74" s="1">
        <v>42402</v>
      </c>
      <c r="G74" t="s">
        <v>2</v>
      </c>
    </row>
    <row r="75" spans="1:7" x14ac:dyDescent="0.3">
      <c r="A75" t="s">
        <v>23</v>
      </c>
      <c r="B75">
        <v>0</v>
      </c>
      <c r="C75">
        <v>0</v>
      </c>
      <c r="D75">
        <v>1</v>
      </c>
      <c r="E75">
        <v>2</v>
      </c>
      <c r="F75" s="1">
        <v>42924</v>
      </c>
      <c r="G75" t="s">
        <v>24</v>
      </c>
    </row>
    <row r="76" spans="1:7" x14ac:dyDescent="0.3">
      <c r="A76" t="s">
        <v>23</v>
      </c>
      <c r="B76">
        <v>0</v>
      </c>
      <c r="C76">
        <v>0</v>
      </c>
      <c r="D76">
        <v>0</v>
      </c>
      <c r="E76">
        <v>1</v>
      </c>
      <c r="F76" s="1">
        <v>42982</v>
      </c>
      <c r="G76" t="s">
        <v>25</v>
      </c>
    </row>
    <row r="77" spans="1:7" x14ac:dyDescent="0.3">
      <c r="A77" t="s">
        <v>23</v>
      </c>
      <c r="B77">
        <v>0</v>
      </c>
      <c r="C77">
        <v>0</v>
      </c>
      <c r="D77">
        <v>1</v>
      </c>
      <c r="E77">
        <v>0</v>
      </c>
      <c r="F77" s="1">
        <v>43157</v>
      </c>
      <c r="G77" t="s">
        <v>2</v>
      </c>
    </row>
    <row r="78" spans="1:7" x14ac:dyDescent="0.3">
      <c r="A78" t="s">
        <v>23</v>
      </c>
      <c r="B78">
        <v>0</v>
      </c>
      <c r="C78">
        <v>0</v>
      </c>
      <c r="D78">
        <v>0</v>
      </c>
      <c r="E78">
        <v>1</v>
      </c>
      <c r="F78" s="1">
        <v>43246</v>
      </c>
      <c r="G78" t="s">
        <v>24</v>
      </c>
    </row>
    <row r="79" spans="1:7" x14ac:dyDescent="0.3">
      <c r="A79" t="s">
        <v>12</v>
      </c>
      <c r="B79">
        <v>2234</v>
      </c>
      <c r="C79">
        <v>52</v>
      </c>
      <c r="D79">
        <v>24</v>
      </c>
      <c r="E79">
        <v>314</v>
      </c>
      <c r="F79" s="1">
        <v>42402</v>
      </c>
      <c r="G79" t="s">
        <v>2</v>
      </c>
    </row>
    <row r="80" spans="1:7" x14ac:dyDescent="0.3">
      <c r="A80" t="s">
        <v>12</v>
      </c>
      <c r="B80">
        <v>1961</v>
      </c>
      <c r="C80">
        <v>47</v>
      </c>
      <c r="D80">
        <v>21</v>
      </c>
      <c r="E80">
        <v>407</v>
      </c>
      <c r="F80" s="1">
        <v>42791</v>
      </c>
      <c r="G80" t="s">
        <v>2</v>
      </c>
    </row>
    <row r="81" spans="1:7" x14ac:dyDescent="0.3">
      <c r="A81" t="s">
        <v>12</v>
      </c>
      <c r="B81">
        <v>969</v>
      </c>
      <c r="C81">
        <v>8</v>
      </c>
      <c r="D81">
        <v>3</v>
      </c>
      <c r="E81">
        <v>789</v>
      </c>
      <c r="F81" s="1">
        <v>42924</v>
      </c>
      <c r="G81" t="s">
        <v>24</v>
      </c>
    </row>
    <row r="82" spans="1:7" x14ac:dyDescent="0.3">
      <c r="A82" t="s">
        <v>12</v>
      </c>
      <c r="B82">
        <v>1035</v>
      </c>
      <c r="C82">
        <v>7</v>
      </c>
      <c r="D82">
        <v>6</v>
      </c>
      <c r="E82">
        <v>863</v>
      </c>
      <c r="F82" s="1">
        <v>42972</v>
      </c>
      <c r="G82" t="s">
        <v>25</v>
      </c>
    </row>
    <row r="83" spans="1:7" x14ac:dyDescent="0.3">
      <c r="A83" t="s">
        <v>12</v>
      </c>
      <c r="B83">
        <v>1091</v>
      </c>
      <c r="C83">
        <v>12</v>
      </c>
      <c r="D83">
        <v>1</v>
      </c>
      <c r="E83">
        <v>871</v>
      </c>
      <c r="F83" s="1">
        <v>42972</v>
      </c>
      <c r="G83" t="s">
        <v>26</v>
      </c>
    </row>
    <row r="84" spans="1:7" x14ac:dyDescent="0.3">
      <c r="A84" t="s">
        <v>12</v>
      </c>
      <c r="B84">
        <v>1325</v>
      </c>
      <c r="C84">
        <v>22</v>
      </c>
      <c r="D84">
        <v>2</v>
      </c>
      <c r="E84">
        <v>719</v>
      </c>
      <c r="F84" s="1">
        <v>43146</v>
      </c>
      <c r="G84" t="s">
        <v>2</v>
      </c>
    </row>
    <row r="85" spans="1:7" x14ac:dyDescent="0.3">
      <c r="A85" t="s">
        <v>12</v>
      </c>
      <c r="B85">
        <v>1082</v>
      </c>
      <c r="C85">
        <v>20</v>
      </c>
      <c r="D85">
        <v>0</v>
      </c>
      <c r="E85">
        <v>609</v>
      </c>
      <c r="F85" s="1">
        <v>43235</v>
      </c>
      <c r="G85" t="s">
        <v>24</v>
      </c>
    </row>
    <row r="86" spans="1:7" x14ac:dyDescent="0.3">
      <c r="A86" t="s">
        <v>12</v>
      </c>
      <c r="B86">
        <v>1181</v>
      </c>
      <c r="C86">
        <v>23</v>
      </c>
      <c r="D86">
        <v>2</v>
      </c>
      <c r="E86">
        <v>504</v>
      </c>
      <c r="F86" s="1">
        <v>43235</v>
      </c>
      <c r="G86" t="s">
        <v>24</v>
      </c>
    </row>
    <row r="87" spans="1:7" x14ac:dyDescent="0.3">
      <c r="A87" t="s">
        <v>12</v>
      </c>
      <c r="B87">
        <v>815</v>
      </c>
      <c r="C87">
        <v>11</v>
      </c>
      <c r="D87">
        <v>4</v>
      </c>
      <c r="E87">
        <v>743</v>
      </c>
      <c r="F87" s="1">
        <v>43235</v>
      </c>
      <c r="G87" t="s">
        <v>24</v>
      </c>
    </row>
    <row r="88" spans="1:7" x14ac:dyDescent="0.3">
      <c r="A88" t="s">
        <v>16</v>
      </c>
      <c r="B88">
        <v>23</v>
      </c>
      <c r="C88">
        <v>5</v>
      </c>
      <c r="D88">
        <v>0</v>
      </c>
      <c r="E88">
        <v>24</v>
      </c>
      <c r="F88" s="1">
        <v>42402</v>
      </c>
      <c r="G88" t="s">
        <v>2</v>
      </c>
    </row>
    <row r="89" spans="1:7" x14ac:dyDescent="0.3">
      <c r="A89" t="s">
        <v>16</v>
      </c>
      <c r="B89">
        <v>28</v>
      </c>
      <c r="C89">
        <v>3</v>
      </c>
      <c r="D89">
        <v>3</v>
      </c>
      <c r="E89">
        <v>36</v>
      </c>
      <c r="F89" s="1">
        <v>42795</v>
      </c>
      <c r="G89" t="s">
        <v>2</v>
      </c>
    </row>
    <row r="90" spans="1:7" x14ac:dyDescent="0.3">
      <c r="A90" t="s">
        <v>16</v>
      </c>
      <c r="B90">
        <v>0</v>
      </c>
      <c r="C90">
        <v>0</v>
      </c>
      <c r="D90">
        <v>0</v>
      </c>
      <c r="E90">
        <v>3</v>
      </c>
      <c r="F90" s="1">
        <v>42924</v>
      </c>
      <c r="G90" t="s">
        <v>24</v>
      </c>
    </row>
    <row r="91" spans="1:7" x14ac:dyDescent="0.3">
      <c r="A91" t="s">
        <v>16</v>
      </c>
      <c r="B91">
        <v>1</v>
      </c>
      <c r="C91">
        <v>0</v>
      </c>
      <c r="D91">
        <v>0</v>
      </c>
      <c r="E91">
        <v>14</v>
      </c>
      <c r="F91" s="1">
        <v>42976</v>
      </c>
      <c r="G91" t="s">
        <v>25</v>
      </c>
    </row>
    <row r="92" spans="1:7" x14ac:dyDescent="0.3">
      <c r="A92" t="s">
        <v>16</v>
      </c>
      <c r="B92">
        <v>10</v>
      </c>
      <c r="C92">
        <v>1</v>
      </c>
      <c r="D92">
        <v>1</v>
      </c>
      <c r="E92">
        <v>10</v>
      </c>
      <c r="F92" s="1">
        <v>42976</v>
      </c>
      <c r="G92" t="s">
        <v>26</v>
      </c>
    </row>
    <row r="93" spans="1:7" x14ac:dyDescent="0.3">
      <c r="A93" t="s">
        <v>16</v>
      </c>
      <c r="B93">
        <v>19</v>
      </c>
      <c r="C93">
        <v>2</v>
      </c>
      <c r="D93">
        <v>0</v>
      </c>
      <c r="E93">
        <v>13</v>
      </c>
      <c r="F93" s="1">
        <v>43150</v>
      </c>
      <c r="G93" t="s">
        <v>2</v>
      </c>
    </row>
    <row r="94" spans="1:7" x14ac:dyDescent="0.3">
      <c r="A94" t="s">
        <v>16</v>
      </c>
      <c r="B94">
        <v>10</v>
      </c>
      <c r="C94">
        <v>1</v>
      </c>
      <c r="D94">
        <v>0</v>
      </c>
      <c r="E94">
        <v>7</v>
      </c>
      <c r="F94" s="1">
        <v>43239</v>
      </c>
      <c r="G94" t="s">
        <v>24</v>
      </c>
    </row>
    <row r="95" spans="1:7" x14ac:dyDescent="0.3">
      <c r="A95" t="s">
        <v>16</v>
      </c>
      <c r="B95">
        <v>0</v>
      </c>
      <c r="C95">
        <v>0</v>
      </c>
      <c r="D95">
        <v>0</v>
      </c>
      <c r="E95">
        <v>8</v>
      </c>
      <c r="F95" s="1">
        <v>43239</v>
      </c>
      <c r="G95" t="s">
        <v>24</v>
      </c>
    </row>
    <row r="96" spans="1:7" x14ac:dyDescent="0.3">
      <c r="A96" t="s">
        <v>16</v>
      </c>
      <c r="B96">
        <v>17</v>
      </c>
      <c r="C96">
        <v>1</v>
      </c>
      <c r="D96">
        <v>0</v>
      </c>
      <c r="E96">
        <v>20</v>
      </c>
      <c r="F96" s="1">
        <v>43239</v>
      </c>
      <c r="G96" t="s">
        <v>24</v>
      </c>
    </row>
    <row r="97" spans="1:7" x14ac:dyDescent="0.3">
      <c r="A97" t="s">
        <v>4</v>
      </c>
      <c r="B97">
        <v>2</v>
      </c>
      <c r="C97">
        <v>2</v>
      </c>
      <c r="D97">
        <v>0</v>
      </c>
      <c r="E97">
        <v>33</v>
      </c>
      <c r="F97" s="1">
        <v>42402</v>
      </c>
      <c r="G97" t="s">
        <v>2</v>
      </c>
    </row>
    <row r="98" spans="1:7" x14ac:dyDescent="0.3">
      <c r="A98" t="s">
        <v>4</v>
      </c>
      <c r="B98">
        <v>25</v>
      </c>
      <c r="C98">
        <v>0</v>
      </c>
      <c r="D98">
        <v>0</v>
      </c>
      <c r="E98">
        <v>11</v>
      </c>
      <c r="F98" s="1">
        <v>42783</v>
      </c>
      <c r="G98" t="s">
        <v>2</v>
      </c>
    </row>
    <row r="99" spans="1:7" x14ac:dyDescent="0.3">
      <c r="A99" t="s">
        <v>4</v>
      </c>
      <c r="B99">
        <v>24</v>
      </c>
      <c r="C99">
        <v>0</v>
      </c>
      <c r="D99">
        <v>0</v>
      </c>
      <c r="E99">
        <v>8</v>
      </c>
      <c r="F99" s="1">
        <v>42924</v>
      </c>
      <c r="G99" t="s">
        <v>24</v>
      </c>
    </row>
    <row r="100" spans="1:7" x14ac:dyDescent="0.3">
      <c r="A100" t="s">
        <v>4</v>
      </c>
      <c r="B100">
        <v>11</v>
      </c>
      <c r="C100">
        <v>0</v>
      </c>
      <c r="D100">
        <v>0</v>
      </c>
      <c r="E100">
        <v>5</v>
      </c>
      <c r="F100" s="1">
        <v>42964</v>
      </c>
      <c r="G100" t="s">
        <v>25</v>
      </c>
    </row>
    <row r="101" spans="1:7" x14ac:dyDescent="0.3">
      <c r="A101" t="s">
        <v>4</v>
      </c>
      <c r="B101">
        <v>21</v>
      </c>
      <c r="C101">
        <v>3</v>
      </c>
      <c r="D101">
        <v>2</v>
      </c>
      <c r="E101">
        <v>11</v>
      </c>
      <c r="F101" s="1">
        <v>42964</v>
      </c>
      <c r="G101" t="s">
        <v>26</v>
      </c>
    </row>
    <row r="102" spans="1:7" x14ac:dyDescent="0.3">
      <c r="A102" t="s">
        <v>4</v>
      </c>
      <c r="B102">
        <v>24</v>
      </c>
      <c r="C102">
        <v>1</v>
      </c>
      <c r="D102">
        <v>0</v>
      </c>
      <c r="E102">
        <v>22</v>
      </c>
      <c r="F102" s="1">
        <v>43138</v>
      </c>
      <c r="G102" t="s">
        <v>2</v>
      </c>
    </row>
    <row r="103" spans="1:7" x14ac:dyDescent="0.3">
      <c r="A103" t="s">
        <v>4</v>
      </c>
      <c r="B103">
        <v>15</v>
      </c>
      <c r="C103">
        <v>0</v>
      </c>
      <c r="D103">
        <v>1</v>
      </c>
      <c r="E103">
        <v>17</v>
      </c>
      <c r="F103" s="1">
        <v>43227</v>
      </c>
      <c r="G103" t="s">
        <v>24</v>
      </c>
    </row>
    <row r="104" spans="1:7" x14ac:dyDescent="0.3">
      <c r="A104" t="s">
        <v>4</v>
      </c>
      <c r="B104">
        <v>6</v>
      </c>
      <c r="C104">
        <v>0</v>
      </c>
      <c r="D104">
        <v>1</v>
      </c>
      <c r="E104">
        <v>17</v>
      </c>
      <c r="F104" s="1">
        <v>43227</v>
      </c>
      <c r="G104" t="s">
        <v>24</v>
      </c>
    </row>
    <row r="105" spans="1:7" x14ac:dyDescent="0.3">
      <c r="A105" t="s">
        <v>4</v>
      </c>
      <c r="B105">
        <v>8</v>
      </c>
      <c r="C105">
        <v>0</v>
      </c>
      <c r="D105">
        <v>0</v>
      </c>
      <c r="E105">
        <v>15</v>
      </c>
      <c r="F105" s="1">
        <v>43227</v>
      </c>
      <c r="G105" t="s">
        <v>24</v>
      </c>
    </row>
    <row r="106" spans="1:7" x14ac:dyDescent="0.3">
      <c r="A106" t="s">
        <v>19</v>
      </c>
      <c r="B106">
        <v>12</v>
      </c>
      <c r="C106">
        <v>4</v>
      </c>
      <c r="D106">
        <v>10</v>
      </c>
      <c r="E106">
        <v>208</v>
      </c>
      <c r="F106" s="1">
        <v>42402</v>
      </c>
      <c r="G106" t="s">
        <v>2</v>
      </c>
    </row>
    <row r="107" spans="1:7" x14ac:dyDescent="0.3">
      <c r="A107" t="s">
        <v>19</v>
      </c>
      <c r="B107">
        <v>1</v>
      </c>
      <c r="C107">
        <v>4</v>
      </c>
      <c r="D107">
        <v>6</v>
      </c>
      <c r="E107">
        <v>251</v>
      </c>
      <c r="F107" s="1">
        <v>42798</v>
      </c>
      <c r="G107" t="s">
        <v>2</v>
      </c>
    </row>
    <row r="108" spans="1:7" x14ac:dyDescent="0.3">
      <c r="A108" t="s">
        <v>19</v>
      </c>
      <c r="B108">
        <v>1</v>
      </c>
      <c r="C108">
        <v>0</v>
      </c>
      <c r="D108">
        <v>1</v>
      </c>
      <c r="E108">
        <v>161</v>
      </c>
      <c r="F108" s="1">
        <v>42924</v>
      </c>
      <c r="G108" t="s">
        <v>24</v>
      </c>
    </row>
    <row r="109" spans="1:7" x14ac:dyDescent="0.3">
      <c r="A109" t="s">
        <v>19</v>
      </c>
      <c r="B109">
        <v>1</v>
      </c>
      <c r="C109">
        <v>3</v>
      </c>
      <c r="D109">
        <v>2</v>
      </c>
      <c r="E109">
        <v>160</v>
      </c>
      <c r="F109" s="1">
        <v>42978</v>
      </c>
      <c r="G109" t="s">
        <v>25</v>
      </c>
    </row>
    <row r="110" spans="1:7" x14ac:dyDescent="0.3">
      <c r="A110" t="s">
        <v>19</v>
      </c>
      <c r="B110">
        <v>19</v>
      </c>
      <c r="C110">
        <v>5</v>
      </c>
      <c r="D110">
        <v>3</v>
      </c>
      <c r="E110">
        <v>207</v>
      </c>
      <c r="F110" s="1">
        <v>42979</v>
      </c>
      <c r="G110" t="s">
        <v>26</v>
      </c>
    </row>
    <row r="111" spans="1:7" x14ac:dyDescent="0.3">
      <c r="A111" t="s">
        <v>19</v>
      </c>
      <c r="B111">
        <v>2</v>
      </c>
      <c r="C111">
        <v>1</v>
      </c>
      <c r="D111">
        <v>6</v>
      </c>
      <c r="E111">
        <v>211</v>
      </c>
      <c r="F111" s="1">
        <v>43153</v>
      </c>
      <c r="G111" t="s">
        <v>2</v>
      </c>
    </row>
    <row r="112" spans="1:7" x14ac:dyDescent="0.3">
      <c r="A112" t="s">
        <v>19</v>
      </c>
      <c r="B112">
        <v>0</v>
      </c>
      <c r="C112">
        <v>0</v>
      </c>
      <c r="D112">
        <v>0</v>
      </c>
      <c r="E112">
        <v>208</v>
      </c>
      <c r="F112" s="1">
        <v>43242</v>
      </c>
      <c r="G112" t="s">
        <v>24</v>
      </c>
    </row>
    <row r="113" spans="1:7" x14ac:dyDescent="0.3">
      <c r="A113" t="s">
        <v>19</v>
      </c>
      <c r="B113">
        <v>2</v>
      </c>
      <c r="C113">
        <v>1</v>
      </c>
      <c r="D113">
        <v>0</v>
      </c>
      <c r="E113">
        <v>140</v>
      </c>
      <c r="F113" s="1">
        <v>43242</v>
      </c>
      <c r="G113" t="s">
        <v>24</v>
      </c>
    </row>
    <row r="114" spans="1:7" x14ac:dyDescent="0.3">
      <c r="A114" t="s">
        <v>19</v>
      </c>
      <c r="B114">
        <v>0</v>
      </c>
      <c r="C114">
        <v>0</v>
      </c>
      <c r="D114">
        <v>2</v>
      </c>
      <c r="E114">
        <v>104</v>
      </c>
      <c r="F114" s="1">
        <v>43242</v>
      </c>
      <c r="G114" t="s">
        <v>24</v>
      </c>
    </row>
    <row r="115" spans="1:7" x14ac:dyDescent="0.3">
      <c r="A115" t="s">
        <v>15</v>
      </c>
      <c r="B115">
        <v>392</v>
      </c>
      <c r="C115">
        <v>15</v>
      </c>
      <c r="D115">
        <v>4</v>
      </c>
      <c r="E115">
        <v>127</v>
      </c>
      <c r="F115" s="1">
        <v>42402</v>
      </c>
      <c r="G115" t="s">
        <v>2</v>
      </c>
    </row>
    <row r="116" spans="1:7" x14ac:dyDescent="0.3">
      <c r="A116" t="s">
        <v>15</v>
      </c>
      <c r="B116">
        <v>308</v>
      </c>
      <c r="C116">
        <v>18</v>
      </c>
      <c r="D116">
        <v>6</v>
      </c>
      <c r="E116">
        <v>163</v>
      </c>
      <c r="F116" s="1">
        <v>42794</v>
      </c>
      <c r="G116" t="s">
        <v>2</v>
      </c>
    </row>
    <row r="117" spans="1:7" x14ac:dyDescent="0.3">
      <c r="A117" t="s">
        <v>15</v>
      </c>
      <c r="B117">
        <v>82</v>
      </c>
      <c r="C117">
        <v>3</v>
      </c>
      <c r="D117">
        <v>1</v>
      </c>
      <c r="E117">
        <v>229</v>
      </c>
      <c r="F117" s="1">
        <v>42924</v>
      </c>
      <c r="G117" t="s">
        <v>24</v>
      </c>
    </row>
    <row r="118" spans="1:7" x14ac:dyDescent="0.3">
      <c r="A118" t="s">
        <v>15</v>
      </c>
      <c r="B118">
        <v>151</v>
      </c>
      <c r="C118">
        <v>6</v>
      </c>
      <c r="D118">
        <v>1</v>
      </c>
      <c r="E118">
        <v>113</v>
      </c>
      <c r="F118" s="1">
        <v>42975</v>
      </c>
      <c r="G118" t="s">
        <v>25</v>
      </c>
    </row>
    <row r="119" spans="1:7" x14ac:dyDescent="0.3">
      <c r="A119" t="s">
        <v>15</v>
      </c>
      <c r="B119">
        <v>237</v>
      </c>
      <c r="C119">
        <v>11</v>
      </c>
      <c r="D119">
        <v>1</v>
      </c>
      <c r="E119">
        <v>175</v>
      </c>
      <c r="F119" s="1">
        <v>42975</v>
      </c>
      <c r="G119" t="s">
        <v>26</v>
      </c>
    </row>
    <row r="120" spans="1:7" x14ac:dyDescent="0.3">
      <c r="A120" t="s">
        <v>15</v>
      </c>
      <c r="B120">
        <v>213</v>
      </c>
      <c r="C120">
        <v>7</v>
      </c>
      <c r="D120">
        <v>1</v>
      </c>
      <c r="E120">
        <v>219</v>
      </c>
      <c r="F120" s="1">
        <v>43149</v>
      </c>
      <c r="G120" t="s">
        <v>2</v>
      </c>
    </row>
    <row r="121" spans="1:7" x14ac:dyDescent="0.3">
      <c r="A121" t="s">
        <v>15</v>
      </c>
      <c r="B121">
        <v>173</v>
      </c>
      <c r="C121">
        <v>4</v>
      </c>
      <c r="D121">
        <v>0</v>
      </c>
      <c r="E121">
        <v>216</v>
      </c>
      <c r="F121" s="1">
        <v>43238</v>
      </c>
      <c r="G121" t="s">
        <v>24</v>
      </c>
    </row>
    <row r="122" spans="1:7" x14ac:dyDescent="0.3">
      <c r="A122" t="s">
        <v>15</v>
      </c>
      <c r="B122">
        <v>228</v>
      </c>
      <c r="C122">
        <v>17</v>
      </c>
      <c r="D122">
        <v>0</v>
      </c>
      <c r="E122">
        <v>127</v>
      </c>
      <c r="F122" s="1">
        <v>43238</v>
      </c>
      <c r="G122" t="s">
        <v>24</v>
      </c>
    </row>
    <row r="123" spans="1:7" x14ac:dyDescent="0.3">
      <c r="A123" t="s">
        <v>15</v>
      </c>
      <c r="B123">
        <v>133</v>
      </c>
      <c r="C123">
        <v>5</v>
      </c>
      <c r="D123">
        <v>1</v>
      </c>
      <c r="E123">
        <v>179</v>
      </c>
      <c r="F123" s="1">
        <v>43238</v>
      </c>
      <c r="G123" t="s">
        <v>24</v>
      </c>
    </row>
    <row r="124" spans="1:7" x14ac:dyDescent="0.3">
      <c r="A124" t="s">
        <v>8</v>
      </c>
      <c r="B124">
        <v>461</v>
      </c>
      <c r="C124">
        <v>62</v>
      </c>
      <c r="D124">
        <v>0</v>
      </c>
      <c r="E124">
        <v>102</v>
      </c>
      <c r="F124" s="1">
        <v>42402</v>
      </c>
      <c r="G124" t="s">
        <v>2</v>
      </c>
    </row>
    <row r="125" spans="1:7" x14ac:dyDescent="0.3">
      <c r="A125" t="s">
        <v>8</v>
      </c>
      <c r="B125">
        <v>263</v>
      </c>
      <c r="C125">
        <v>81</v>
      </c>
      <c r="D125">
        <v>0</v>
      </c>
      <c r="E125">
        <v>191</v>
      </c>
      <c r="F125" s="1">
        <v>42787</v>
      </c>
      <c r="G125" t="s">
        <v>2</v>
      </c>
    </row>
    <row r="126" spans="1:7" x14ac:dyDescent="0.3">
      <c r="A126" t="s">
        <v>8</v>
      </c>
      <c r="B126">
        <v>129</v>
      </c>
      <c r="C126">
        <v>13</v>
      </c>
      <c r="D126">
        <v>1</v>
      </c>
      <c r="E126">
        <v>255</v>
      </c>
      <c r="F126" s="1">
        <v>42924</v>
      </c>
      <c r="G126" t="s">
        <v>24</v>
      </c>
    </row>
    <row r="127" spans="1:7" x14ac:dyDescent="0.3">
      <c r="A127" t="s">
        <v>8</v>
      </c>
      <c r="B127">
        <v>110</v>
      </c>
      <c r="C127">
        <v>24</v>
      </c>
      <c r="D127">
        <v>0</v>
      </c>
      <c r="E127">
        <v>281</v>
      </c>
      <c r="F127" s="1">
        <v>42968</v>
      </c>
      <c r="G127" t="s">
        <v>25</v>
      </c>
    </row>
    <row r="128" spans="1:7" x14ac:dyDescent="0.3">
      <c r="A128" t="s">
        <v>8</v>
      </c>
      <c r="B128">
        <v>221</v>
      </c>
      <c r="C128">
        <v>27</v>
      </c>
      <c r="D128">
        <v>2</v>
      </c>
      <c r="E128">
        <v>349</v>
      </c>
      <c r="F128" s="1">
        <v>42968</v>
      </c>
      <c r="G128" t="s">
        <v>26</v>
      </c>
    </row>
    <row r="129" spans="1:7" x14ac:dyDescent="0.3">
      <c r="A129" t="s">
        <v>8</v>
      </c>
      <c r="B129">
        <v>313</v>
      </c>
      <c r="C129">
        <v>41</v>
      </c>
      <c r="D129">
        <v>0</v>
      </c>
      <c r="E129">
        <v>319</v>
      </c>
      <c r="F129" s="1">
        <v>43142</v>
      </c>
      <c r="G129" t="s">
        <v>2</v>
      </c>
    </row>
    <row r="130" spans="1:7" x14ac:dyDescent="0.3">
      <c r="A130" t="s">
        <v>8</v>
      </c>
      <c r="B130">
        <v>151</v>
      </c>
      <c r="C130">
        <v>16</v>
      </c>
      <c r="D130">
        <v>0</v>
      </c>
      <c r="E130">
        <v>337</v>
      </c>
      <c r="F130" s="1">
        <v>43231</v>
      </c>
      <c r="G130" t="s">
        <v>24</v>
      </c>
    </row>
    <row r="131" spans="1:7" x14ac:dyDescent="0.3">
      <c r="A131" t="s">
        <v>8</v>
      </c>
      <c r="B131">
        <v>199</v>
      </c>
      <c r="C131">
        <v>35</v>
      </c>
      <c r="D131">
        <v>0</v>
      </c>
      <c r="E131">
        <v>332</v>
      </c>
      <c r="F131" s="1">
        <v>43231</v>
      </c>
      <c r="G131" t="s">
        <v>24</v>
      </c>
    </row>
    <row r="132" spans="1:7" x14ac:dyDescent="0.3">
      <c r="A132" t="s">
        <v>8</v>
      </c>
      <c r="B132">
        <v>191</v>
      </c>
      <c r="C132">
        <v>19</v>
      </c>
      <c r="D132">
        <v>0</v>
      </c>
      <c r="E132">
        <v>299</v>
      </c>
      <c r="F132" s="1">
        <v>43231</v>
      </c>
      <c r="G132" t="s">
        <v>24</v>
      </c>
    </row>
    <row r="133" spans="1:7" x14ac:dyDescent="0.3">
      <c r="A133" t="s">
        <v>7</v>
      </c>
      <c r="B133">
        <v>2334</v>
      </c>
      <c r="C133">
        <v>79</v>
      </c>
      <c r="D133">
        <v>4</v>
      </c>
      <c r="E133">
        <v>195</v>
      </c>
      <c r="F133" s="1">
        <v>42402</v>
      </c>
      <c r="G133" t="s">
        <v>2</v>
      </c>
    </row>
    <row r="134" spans="1:7" x14ac:dyDescent="0.3">
      <c r="A134" t="s">
        <v>7</v>
      </c>
      <c r="B134">
        <v>829</v>
      </c>
      <c r="C134">
        <v>66</v>
      </c>
      <c r="D134">
        <v>3</v>
      </c>
      <c r="E134">
        <v>106</v>
      </c>
      <c r="F134" s="1">
        <v>42786</v>
      </c>
      <c r="G134" t="s">
        <v>2</v>
      </c>
    </row>
    <row r="135" spans="1:7" x14ac:dyDescent="0.3">
      <c r="A135" t="s">
        <v>7</v>
      </c>
      <c r="B135">
        <v>461</v>
      </c>
      <c r="C135">
        <v>20</v>
      </c>
      <c r="D135">
        <v>5</v>
      </c>
      <c r="E135">
        <v>467</v>
      </c>
      <c r="F135" s="1">
        <v>42924</v>
      </c>
      <c r="G135" t="s">
        <v>24</v>
      </c>
    </row>
    <row r="136" spans="1:7" x14ac:dyDescent="0.3">
      <c r="A136" t="s">
        <v>7</v>
      </c>
      <c r="B136">
        <v>374</v>
      </c>
      <c r="C136">
        <v>23</v>
      </c>
      <c r="D136">
        <v>0</v>
      </c>
      <c r="E136">
        <v>247</v>
      </c>
      <c r="F136" s="1">
        <v>42967</v>
      </c>
      <c r="G136" t="s">
        <v>25</v>
      </c>
    </row>
    <row r="137" spans="1:7" x14ac:dyDescent="0.3">
      <c r="A137" t="s">
        <v>7</v>
      </c>
      <c r="B137">
        <v>396</v>
      </c>
      <c r="C137">
        <v>30</v>
      </c>
      <c r="D137">
        <v>2</v>
      </c>
      <c r="E137">
        <v>328</v>
      </c>
      <c r="F137" s="1">
        <v>42967</v>
      </c>
      <c r="G137" t="s">
        <v>26</v>
      </c>
    </row>
    <row r="138" spans="1:7" x14ac:dyDescent="0.3">
      <c r="A138" t="s">
        <v>7</v>
      </c>
      <c r="B138">
        <v>558</v>
      </c>
      <c r="C138">
        <v>20</v>
      </c>
      <c r="D138">
        <v>1</v>
      </c>
      <c r="E138">
        <v>331</v>
      </c>
      <c r="F138" s="1">
        <v>43141</v>
      </c>
      <c r="G138" t="s">
        <v>2</v>
      </c>
    </row>
    <row r="139" spans="1:7" x14ac:dyDescent="0.3">
      <c r="A139" t="s">
        <v>7</v>
      </c>
      <c r="B139">
        <v>556</v>
      </c>
      <c r="C139">
        <v>22</v>
      </c>
      <c r="D139">
        <v>1</v>
      </c>
      <c r="E139">
        <v>209</v>
      </c>
      <c r="F139" s="1">
        <v>43230</v>
      </c>
      <c r="G139" t="s">
        <v>24</v>
      </c>
    </row>
    <row r="140" spans="1:7" x14ac:dyDescent="0.3">
      <c r="A140" t="s">
        <v>7</v>
      </c>
      <c r="B140">
        <v>319</v>
      </c>
      <c r="C140">
        <v>24</v>
      </c>
      <c r="D140">
        <v>3</v>
      </c>
      <c r="E140">
        <v>137</v>
      </c>
      <c r="F140" s="1">
        <v>43230</v>
      </c>
      <c r="G140" t="s">
        <v>24</v>
      </c>
    </row>
    <row r="141" spans="1:7" x14ac:dyDescent="0.3">
      <c r="A141" t="s">
        <v>7</v>
      </c>
      <c r="B141">
        <v>232</v>
      </c>
      <c r="C141">
        <v>22</v>
      </c>
      <c r="D141">
        <v>0</v>
      </c>
      <c r="E141">
        <v>270</v>
      </c>
      <c r="F141" s="1">
        <v>43230</v>
      </c>
      <c r="G141" t="s">
        <v>24</v>
      </c>
    </row>
    <row r="142" spans="1:7" x14ac:dyDescent="0.3">
      <c r="A142" t="s">
        <v>6</v>
      </c>
      <c r="B142">
        <v>1686</v>
      </c>
      <c r="C142">
        <v>124</v>
      </c>
      <c r="D142">
        <v>7</v>
      </c>
      <c r="E142">
        <v>1197</v>
      </c>
      <c r="F142" s="1">
        <v>42402</v>
      </c>
      <c r="G142" t="s">
        <v>2</v>
      </c>
    </row>
    <row r="143" spans="1:7" x14ac:dyDescent="0.3">
      <c r="A143" t="s">
        <v>6</v>
      </c>
      <c r="B143">
        <v>1293</v>
      </c>
      <c r="C143">
        <v>126</v>
      </c>
      <c r="D143">
        <v>7</v>
      </c>
      <c r="E143">
        <v>816</v>
      </c>
      <c r="F143" s="1">
        <v>42785</v>
      </c>
      <c r="G143" t="s">
        <v>2</v>
      </c>
    </row>
    <row r="144" spans="1:7" x14ac:dyDescent="0.3">
      <c r="A144" t="s">
        <v>6</v>
      </c>
      <c r="B144">
        <v>485</v>
      </c>
      <c r="C144">
        <v>20</v>
      </c>
      <c r="D144">
        <v>0</v>
      </c>
      <c r="E144">
        <v>921</v>
      </c>
      <c r="F144" s="1">
        <v>42924</v>
      </c>
      <c r="G144" t="s">
        <v>24</v>
      </c>
    </row>
    <row r="145" spans="1:7" x14ac:dyDescent="0.3">
      <c r="A145" t="s">
        <v>6</v>
      </c>
      <c r="B145">
        <v>712</v>
      </c>
      <c r="C145">
        <v>30</v>
      </c>
      <c r="D145">
        <v>1</v>
      </c>
      <c r="E145">
        <v>894</v>
      </c>
      <c r="F145" s="1">
        <v>42966</v>
      </c>
      <c r="G145" t="s">
        <v>25</v>
      </c>
    </row>
    <row r="146" spans="1:7" x14ac:dyDescent="0.3">
      <c r="A146" t="s">
        <v>6</v>
      </c>
      <c r="B146">
        <v>874</v>
      </c>
      <c r="C146">
        <v>32</v>
      </c>
      <c r="D146">
        <v>0</v>
      </c>
      <c r="E146">
        <v>999</v>
      </c>
      <c r="F146" s="1">
        <v>42966</v>
      </c>
      <c r="G146" t="s">
        <v>26</v>
      </c>
    </row>
    <row r="147" spans="1:7" x14ac:dyDescent="0.3">
      <c r="A147" t="s">
        <v>6</v>
      </c>
      <c r="B147">
        <v>947</v>
      </c>
      <c r="C147">
        <v>33</v>
      </c>
      <c r="D147">
        <v>4</v>
      </c>
      <c r="E147">
        <v>853</v>
      </c>
      <c r="F147" s="1">
        <v>43140</v>
      </c>
      <c r="G147" t="s">
        <v>2</v>
      </c>
    </row>
    <row r="148" spans="1:7" x14ac:dyDescent="0.3">
      <c r="A148" t="s">
        <v>6</v>
      </c>
      <c r="B148">
        <v>776</v>
      </c>
      <c r="C148">
        <v>70</v>
      </c>
      <c r="D148">
        <v>1</v>
      </c>
      <c r="E148">
        <v>690</v>
      </c>
      <c r="F148" s="1">
        <v>43229</v>
      </c>
      <c r="G148" t="s">
        <v>24</v>
      </c>
    </row>
    <row r="149" spans="1:7" x14ac:dyDescent="0.3">
      <c r="A149" t="s">
        <v>6</v>
      </c>
      <c r="B149">
        <v>793</v>
      </c>
      <c r="C149">
        <v>59</v>
      </c>
      <c r="D149">
        <v>1</v>
      </c>
      <c r="E149">
        <v>657</v>
      </c>
      <c r="F149" s="1">
        <v>43229</v>
      </c>
      <c r="G149" t="s">
        <v>24</v>
      </c>
    </row>
    <row r="150" spans="1:7" x14ac:dyDescent="0.3">
      <c r="A150" t="s">
        <v>6</v>
      </c>
      <c r="B150">
        <v>542</v>
      </c>
      <c r="C150">
        <v>36</v>
      </c>
      <c r="D150">
        <v>5</v>
      </c>
      <c r="E150">
        <v>649</v>
      </c>
      <c r="F150" s="1">
        <v>43229</v>
      </c>
      <c r="G150" t="s">
        <v>24</v>
      </c>
    </row>
    <row r="151" spans="1:7" x14ac:dyDescent="0.3">
      <c r="A151" t="s">
        <v>21</v>
      </c>
      <c r="B151">
        <v>77</v>
      </c>
      <c r="C151">
        <v>6</v>
      </c>
      <c r="D151">
        <v>7</v>
      </c>
      <c r="E151">
        <v>24</v>
      </c>
      <c r="F151" s="1">
        <v>42402</v>
      </c>
      <c r="G151" t="s">
        <v>2</v>
      </c>
    </row>
    <row r="152" spans="1:7" x14ac:dyDescent="0.3">
      <c r="A152" t="s">
        <v>21</v>
      </c>
      <c r="B152">
        <v>18</v>
      </c>
      <c r="C152">
        <v>5</v>
      </c>
      <c r="D152">
        <v>4</v>
      </c>
      <c r="E152">
        <v>17</v>
      </c>
      <c r="F152" s="1">
        <v>42800</v>
      </c>
      <c r="G152" t="s">
        <v>2</v>
      </c>
    </row>
    <row r="153" spans="1:7" x14ac:dyDescent="0.3">
      <c r="A153" t="s">
        <v>21</v>
      </c>
      <c r="B153">
        <v>10</v>
      </c>
      <c r="C153">
        <v>0</v>
      </c>
      <c r="D153">
        <v>2</v>
      </c>
      <c r="E153">
        <v>15</v>
      </c>
      <c r="F153" s="1">
        <v>42924</v>
      </c>
      <c r="G153" t="s">
        <v>24</v>
      </c>
    </row>
    <row r="154" spans="1:7" x14ac:dyDescent="0.3">
      <c r="A154" t="s">
        <v>21</v>
      </c>
      <c r="B154">
        <v>5</v>
      </c>
      <c r="C154">
        <v>0</v>
      </c>
      <c r="D154">
        <v>1</v>
      </c>
      <c r="E154">
        <v>6</v>
      </c>
      <c r="F154" s="1">
        <v>42980</v>
      </c>
      <c r="G154" t="s">
        <v>25</v>
      </c>
    </row>
    <row r="155" spans="1:7" x14ac:dyDescent="0.3">
      <c r="A155" t="s">
        <v>21</v>
      </c>
      <c r="B155">
        <v>5</v>
      </c>
      <c r="C155">
        <v>0</v>
      </c>
      <c r="D155">
        <v>0</v>
      </c>
      <c r="E155">
        <v>21</v>
      </c>
      <c r="F155" s="1">
        <v>42981</v>
      </c>
      <c r="G155" t="s">
        <v>26</v>
      </c>
    </row>
    <row r="156" spans="1:7" x14ac:dyDescent="0.3">
      <c r="A156" t="s">
        <v>21</v>
      </c>
      <c r="B156">
        <v>4</v>
      </c>
      <c r="C156">
        <v>0</v>
      </c>
      <c r="D156">
        <v>0</v>
      </c>
      <c r="E156">
        <v>32</v>
      </c>
      <c r="F156" s="1">
        <v>43155</v>
      </c>
      <c r="G156" t="s">
        <v>2</v>
      </c>
    </row>
    <row r="157" spans="1:7" x14ac:dyDescent="0.3">
      <c r="A157" t="s">
        <v>21</v>
      </c>
      <c r="B157">
        <v>5</v>
      </c>
      <c r="C157">
        <v>3</v>
      </c>
      <c r="D157">
        <v>1</v>
      </c>
      <c r="E157">
        <v>15</v>
      </c>
      <c r="F157" s="1">
        <v>43244</v>
      </c>
      <c r="G157" t="s">
        <v>24</v>
      </c>
    </row>
    <row r="158" spans="1:7" x14ac:dyDescent="0.3">
      <c r="A158" t="s">
        <v>21</v>
      </c>
      <c r="B158">
        <v>12</v>
      </c>
      <c r="C158">
        <v>4</v>
      </c>
      <c r="D158">
        <v>0</v>
      </c>
      <c r="E158">
        <v>20</v>
      </c>
      <c r="F158" s="1">
        <v>43244</v>
      </c>
      <c r="G158" t="s">
        <v>24</v>
      </c>
    </row>
    <row r="159" spans="1:7" x14ac:dyDescent="0.3">
      <c r="A159" t="s">
        <v>21</v>
      </c>
      <c r="B159">
        <v>3</v>
      </c>
      <c r="C159">
        <v>2</v>
      </c>
      <c r="D159">
        <v>2</v>
      </c>
      <c r="E159">
        <v>20</v>
      </c>
      <c r="F159" s="1">
        <v>43244</v>
      </c>
      <c r="G159" t="s">
        <v>24</v>
      </c>
    </row>
    <row r="160" spans="1:7" x14ac:dyDescent="0.3">
      <c r="A160" t="s">
        <v>17</v>
      </c>
      <c r="B160">
        <v>4</v>
      </c>
      <c r="C160">
        <v>2</v>
      </c>
      <c r="D160">
        <v>2</v>
      </c>
      <c r="E160">
        <v>4</v>
      </c>
      <c r="F160" s="1">
        <v>42402</v>
      </c>
      <c r="G160" t="s">
        <v>2</v>
      </c>
    </row>
    <row r="161" spans="1:7" x14ac:dyDescent="0.3">
      <c r="A161" t="s">
        <v>17</v>
      </c>
      <c r="B161">
        <v>7</v>
      </c>
      <c r="C161">
        <v>3</v>
      </c>
      <c r="D161">
        <v>1</v>
      </c>
      <c r="E161">
        <v>0</v>
      </c>
      <c r="F161" s="1">
        <v>42796</v>
      </c>
      <c r="G161" t="s">
        <v>2</v>
      </c>
    </row>
    <row r="162" spans="1:7" x14ac:dyDescent="0.3">
      <c r="A162" t="s">
        <v>17</v>
      </c>
      <c r="B162">
        <v>0</v>
      </c>
      <c r="C162">
        <v>0</v>
      </c>
      <c r="D162">
        <v>1</v>
      </c>
      <c r="E162">
        <v>3</v>
      </c>
      <c r="F162" s="1">
        <v>42924</v>
      </c>
      <c r="G162" t="s">
        <v>24</v>
      </c>
    </row>
    <row r="163" spans="1:7" x14ac:dyDescent="0.3">
      <c r="A163" t="s">
        <v>17</v>
      </c>
      <c r="B163">
        <v>1</v>
      </c>
      <c r="C163">
        <v>1</v>
      </c>
      <c r="D163">
        <v>0</v>
      </c>
      <c r="E163">
        <v>2</v>
      </c>
      <c r="F163" s="1">
        <v>42977</v>
      </c>
      <c r="G163" t="s">
        <v>26</v>
      </c>
    </row>
    <row r="164" spans="1:7" x14ac:dyDescent="0.3">
      <c r="A164" t="s">
        <v>17</v>
      </c>
      <c r="B164">
        <v>2</v>
      </c>
      <c r="C164">
        <v>1</v>
      </c>
      <c r="D164">
        <v>0</v>
      </c>
      <c r="E164">
        <v>5</v>
      </c>
      <c r="F164" s="1">
        <v>43151</v>
      </c>
      <c r="G164" t="s">
        <v>2</v>
      </c>
    </row>
    <row r="165" spans="1:7" x14ac:dyDescent="0.3">
      <c r="A165" t="s">
        <v>17</v>
      </c>
      <c r="B165">
        <v>3</v>
      </c>
      <c r="C165">
        <v>1</v>
      </c>
      <c r="D165">
        <v>0</v>
      </c>
      <c r="E165">
        <v>3</v>
      </c>
      <c r="F165" s="1">
        <v>43240</v>
      </c>
      <c r="G165" t="s">
        <v>24</v>
      </c>
    </row>
    <row r="166" spans="1:7" x14ac:dyDescent="0.3">
      <c r="A166" t="s">
        <v>17</v>
      </c>
      <c r="B166">
        <v>1</v>
      </c>
      <c r="C166">
        <v>3</v>
      </c>
      <c r="D166">
        <v>0</v>
      </c>
      <c r="E166">
        <v>2</v>
      </c>
      <c r="F166" s="1">
        <v>43240</v>
      </c>
      <c r="G166" t="s">
        <v>24</v>
      </c>
    </row>
    <row r="167" spans="1:7" x14ac:dyDescent="0.3">
      <c r="A167" t="s">
        <v>17</v>
      </c>
      <c r="B167">
        <v>3</v>
      </c>
      <c r="C167">
        <v>0</v>
      </c>
      <c r="D167">
        <v>2</v>
      </c>
      <c r="E167">
        <v>2</v>
      </c>
      <c r="F167" s="1">
        <v>43240</v>
      </c>
      <c r="G167" t="s">
        <v>24</v>
      </c>
    </row>
    <row r="168" spans="1:7" x14ac:dyDescent="0.3">
      <c r="A168" t="s">
        <v>1</v>
      </c>
      <c r="B168">
        <v>2056</v>
      </c>
      <c r="C168">
        <v>356</v>
      </c>
      <c r="D168">
        <v>26</v>
      </c>
      <c r="E168">
        <v>699</v>
      </c>
      <c r="F168" s="1">
        <v>42402</v>
      </c>
      <c r="G168" t="s">
        <v>2</v>
      </c>
    </row>
    <row r="169" spans="1:7" x14ac:dyDescent="0.3">
      <c r="A169" t="s">
        <v>1</v>
      </c>
      <c r="B169">
        <v>1724</v>
      </c>
      <c r="C169">
        <v>315</v>
      </c>
      <c r="D169">
        <v>31</v>
      </c>
      <c r="E169">
        <v>745</v>
      </c>
      <c r="F169" s="1">
        <v>42492</v>
      </c>
      <c r="G169" t="s">
        <v>24</v>
      </c>
    </row>
    <row r="170" spans="1:7" x14ac:dyDescent="0.3">
      <c r="A170" t="s">
        <v>1</v>
      </c>
      <c r="B170">
        <v>1518</v>
      </c>
      <c r="C170">
        <v>343</v>
      </c>
      <c r="D170">
        <v>23</v>
      </c>
      <c r="E170">
        <v>535</v>
      </c>
      <c r="F170" s="1">
        <v>42781</v>
      </c>
      <c r="G170" t="s">
        <v>2</v>
      </c>
    </row>
    <row r="171" spans="1:7" x14ac:dyDescent="0.3">
      <c r="A171" t="s">
        <v>1</v>
      </c>
      <c r="B171">
        <v>790</v>
      </c>
      <c r="C171">
        <v>89</v>
      </c>
      <c r="D171">
        <v>6</v>
      </c>
      <c r="E171">
        <v>724</v>
      </c>
      <c r="F171" s="1">
        <v>42924</v>
      </c>
      <c r="G171" t="s">
        <v>24</v>
      </c>
    </row>
    <row r="172" spans="1:7" x14ac:dyDescent="0.3">
      <c r="A172" t="s">
        <v>1</v>
      </c>
      <c r="B172">
        <v>735</v>
      </c>
      <c r="C172">
        <v>99</v>
      </c>
      <c r="D172">
        <v>14</v>
      </c>
      <c r="E172">
        <v>719</v>
      </c>
      <c r="F172" s="1">
        <v>42962</v>
      </c>
      <c r="G172" t="s">
        <v>25</v>
      </c>
    </row>
    <row r="173" spans="1:7" x14ac:dyDescent="0.3">
      <c r="A173" t="s">
        <v>1</v>
      </c>
      <c r="B173">
        <v>897</v>
      </c>
      <c r="C173">
        <v>160</v>
      </c>
      <c r="D173">
        <v>7</v>
      </c>
      <c r="E173">
        <v>996</v>
      </c>
      <c r="F173" s="1">
        <v>42962</v>
      </c>
      <c r="G173" t="s">
        <v>26</v>
      </c>
    </row>
    <row r="174" spans="1:7" x14ac:dyDescent="0.3">
      <c r="A174" t="s">
        <v>1</v>
      </c>
      <c r="B174">
        <v>1068</v>
      </c>
      <c r="C174">
        <v>188</v>
      </c>
      <c r="D174">
        <v>13</v>
      </c>
      <c r="E174">
        <v>734</v>
      </c>
      <c r="F174" s="1">
        <v>43136</v>
      </c>
      <c r="G174" t="s">
        <v>2</v>
      </c>
    </row>
    <row r="175" spans="1:7" x14ac:dyDescent="0.3">
      <c r="A175" t="s">
        <v>1</v>
      </c>
      <c r="B175">
        <v>861</v>
      </c>
      <c r="C175">
        <v>142</v>
      </c>
      <c r="D175">
        <v>6</v>
      </c>
      <c r="E175">
        <v>581</v>
      </c>
      <c r="F175" s="1">
        <v>43225</v>
      </c>
      <c r="G175" t="s">
        <v>24</v>
      </c>
    </row>
    <row r="176" spans="1:7" x14ac:dyDescent="0.3">
      <c r="A176" t="s">
        <v>1</v>
      </c>
      <c r="B176">
        <v>864</v>
      </c>
      <c r="C176">
        <v>182</v>
      </c>
      <c r="D176">
        <v>7</v>
      </c>
      <c r="E176">
        <v>612</v>
      </c>
      <c r="F176" s="1">
        <v>43225</v>
      </c>
      <c r="G176" t="s">
        <v>24</v>
      </c>
    </row>
    <row r="177" spans="1:7" x14ac:dyDescent="0.3">
      <c r="A177" t="s">
        <v>1</v>
      </c>
      <c r="B177">
        <v>603</v>
      </c>
      <c r="C177">
        <v>150</v>
      </c>
      <c r="D177">
        <v>19</v>
      </c>
      <c r="E177">
        <v>794</v>
      </c>
      <c r="F177" s="1">
        <v>43225</v>
      </c>
      <c r="G177" t="s">
        <v>24</v>
      </c>
    </row>
    <row r="178" spans="1:7" x14ac:dyDescent="0.3">
      <c r="A178" t="s">
        <v>9</v>
      </c>
      <c r="B178">
        <v>67</v>
      </c>
      <c r="C178">
        <v>21</v>
      </c>
      <c r="D178">
        <v>2</v>
      </c>
      <c r="E178">
        <v>41</v>
      </c>
      <c r="F178" s="1">
        <v>42402</v>
      </c>
      <c r="G178" t="s">
        <v>2</v>
      </c>
    </row>
    <row r="179" spans="1:7" x14ac:dyDescent="0.3">
      <c r="A179" t="s">
        <v>9</v>
      </c>
      <c r="B179">
        <v>45</v>
      </c>
      <c r="C179">
        <v>12</v>
      </c>
      <c r="D179">
        <v>2</v>
      </c>
      <c r="E179">
        <v>33</v>
      </c>
      <c r="F179" s="1">
        <v>42788</v>
      </c>
      <c r="G179" t="s">
        <v>2</v>
      </c>
    </row>
    <row r="180" spans="1:7" x14ac:dyDescent="0.3">
      <c r="A180" t="s">
        <v>9</v>
      </c>
      <c r="B180">
        <v>20</v>
      </c>
      <c r="C180">
        <v>1</v>
      </c>
      <c r="D180">
        <v>1</v>
      </c>
      <c r="E180">
        <v>31</v>
      </c>
      <c r="F180" s="1">
        <v>42924</v>
      </c>
      <c r="G180" t="s">
        <v>24</v>
      </c>
    </row>
    <row r="181" spans="1:7" x14ac:dyDescent="0.3">
      <c r="A181" t="s">
        <v>9</v>
      </c>
      <c r="B181">
        <v>26</v>
      </c>
      <c r="C181">
        <v>4</v>
      </c>
      <c r="D181">
        <v>0</v>
      </c>
      <c r="E181">
        <v>37</v>
      </c>
      <c r="F181" s="1">
        <v>42969</v>
      </c>
      <c r="G181" t="s">
        <v>25</v>
      </c>
    </row>
    <row r="182" spans="1:7" x14ac:dyDescent="0.3">
      <c r="A182" t="s">
        <v>9</v>
      </c>
      <c r="B182">
        <v>32</v>
      </c>
      <c r="C182">
        <v>4</v>
      </c>
      <c r="D182">
        <v>0</v>
      </c>
      <c r="E182">
        <v>42</v>
      </c>
      <c r="F182" s="1">
        <v>42969</v>
      </c>
      <c r="G182" t="s">
        <v>26</v>
      </c>
    </row>
    <row r="183" spans="1:7" x14ac:dyDescent="0.3">
      <c r="A183" t="s">
        <v>9</v>
      </c>
      <c r="B183">
        <v>16</v>
      </c>
      <c r="C183">
        <v>3</v>
      </c>
      <c r="D183">
        <v>0</v>
      </c>
      <c r="E183">
        <v>40</v>
      </c>
      <c r="F183" s="1">
        <v>43143</v>
      </c>
      <c r="G183" t="s">
        <v>2</v>
      </c>
    </row>
    <row r="184" spans="1:7" x14ac:dyDescent="0.3">
      <c r="A184" t="s">
        <v>9</v>
      </c>
      <c r="B184">
        <v>30</v>
      </c>
      <c r="C184">
        <v>4</v>
      </c>
      <c r="D184">
        <v>0</v>
      </c>
      <c r="E184">
        <v>47</v>
      </c>
      <c r="F184" s="1">
        <v>43232</v>
      </c>
      <c r="G184" t="s">
        <v>24</v>
      </c>
    </row>
    <row r="185" spans="1:7" x14ac:dyDescent="0.3">
      <c r="A185" t="s">
        <v>9</v>
      </c>
      <c r="B185">
        <v>28</v>
      </c>
      <c r="C185">
        <v>2</v>
      </c>
      <c r="D185">
        <v>0</v>
      </c>
      <c r="E185">
        <v>43</v>
      </c>
      <c r="F185" s="1">
        <v>43232</v>
      </c>
      <c r="G185" t="s">
        <v>24</v>
      </c>
    </row>
    <row r="186" spans="1:7" x14ac:dyDescent="0.3">
      <c r="A186" t="s">
        <v>9</v>
      </c>
      <c r="B186">
        <v>15</v>
      </c>
      <c r="C186">
        <v>3</v>
      </c>
      <c r="D186">
        <v>1</v>
      </c>
      <c r="E186">
        <v>31</v>
      </c>
      <c r="F186" s="1">
        <v>43232</v>
      </c>
      <c r="G186" t="s">
        <v>24</v>
      </c>
    </row>
    <row r="187" spans="1:7" x14ac:dyDescent="0.3">
      <c r="A187" t="s">
        <v>11</v>
      </c>
      <c r="B187">
        <v>63</v>
      </c>
      <c r="C187">
        <v>18</v>
      </c>
      <c r="D187">
        <v>3</v>
      </c>
      <c r="E187">
        <v>42</v>
      </c>
      <c r="F187" s="1">
        <v>42402</v>
      </c>
      <c r="G187" t="s">
        <v>2</v>
      </c>
    </row>
    <row r="188" spans="1:7" x14ac:dyDescent="0.3">
      <c r="A188" t="s">
        <v>11</v>
      </c>
      <c r="B188">
        <v>64</v>
      </c>
      <c r="C188">
        <v>19</v>
      </c>
      <c r="D188">
        <v>3</v>
      </c>
      <c r="E188">
        <v>33</v>
      </c>
      <c r="F188" s="1">
        <v>42790</v>
      </c>
      <c r="G188" t="s">
        <v>2</v>
      </c>
    </row>
    <row r="189" spans="1:7" x14ac:dyDescent="0.3">
      <c r="A189" t="s">
        <v>11</v>
      </c>
      <c r="B189">
        <v>31</v>
      </c>
      <c r="C189">
        <v>5</v>
      </c>
      <c r="D189">
        <v>0</v>
      </c>
      <c r="E189">
        <v>32</v>
      </c>
      <c r="F189" s="1">
        <v>42924</v>
      </c>
      <c r="G189" t="s">
        <v>24</v>
      </c>
    </row>
    <row r="190" spans="1:7" x14ac:dyDescent="0.3">
      <c r="A190" t="s">
        <v>11</v>
      </c>
      <c r="B190">
        <v>26</v>
      </c>
      <c r="C190">
        <v>1</v>
      </c>
      <c r="D190">
        <v>1</v>
      </c>
      <c r="E190">
        <v>43</v>
      </c>
      <c r="F190" s="1">
        <v>42971</v>
      </c>
      <c r="G190" t="s">
        <v>25</v>
      </c>
    </row>
    <row r="191" spans="1:7" x14ac:dyDescent="0.3">
      <c r="A191" t="s">
        <v>11</v>
      </c>
      <c r="B191">
        <v>21</v>
      </c>
      <c r="C191">
        <v>5</v>
      </c>
      <c r="D191">
        <v>0</v>
      </c>
      <c r="E191">
        <v>41</v>
      </c>
      <c r="F191" s="1">
        <v>42971</v>
      </c>
      <c r="G191" t="s">
        <v>26</v>
      </c>
    </row>
    <row r="192" spans="1:7" x14ac:dyDescent="0.3">
      <c r="A192" t="s">
        <v>11</v>
      </c>
      <c r="B192">
        <v>38</v>
      </c>
      <c r="C192">
        <v>9</v>
      </c>
      <c r="D192">
        <v>0</v>
      </c>
      <c r="E192">
        <v>57</v>
      </c>
      <c r="F192" s="1">
        <v>43145</v>
      </c>
      <c r="G192" t="s">
        <v>2</v>
      </c>
    </row>
    <row r="193" spans="1:7" x14ac:dyDescent="0.3">
      <c r="A193" t="s">
        <v>11</v>
      </c>
      <c r="B193">
        <v>30</v>
      </c>
      <c r="C193">
        <v>10</v>
      </c>
      <c r="D193">
        <v>1</v>
      </c>
      <c r="E193">
        <v>31</v>
      </c>
      <c r="F193" s="1">
        <v>43234</v>
      </c>
      <c r="G193" t="s">
        <v>24</v>
      </c>
    </row>
    <row r="194" spans="1:7" x14ac:dyDescent="0.3">
      <c r="A194" t="s">
        <v>11</v>
      </c>
      <c r="B194">
        <v>29</v>
      </c>
      <c r="C194">
        <v>11</v>
      </c>
      <c r="D194">
        <v>0</v>
      </c>
      <c r="E194">
        <v>45</v>
      </c>
      <c r="F194" s="1">
        <v>43234</v>
      </c>
      <c r="G194" t="s">
        <v>24</v>
      </c>
    </row>
    <row r="195" spans="1:7" x14ac:dyDescent="0.3">
      <c r="A195" t="s">
        <v>11</v>
      </c>
      <c r="B195">
        <v>9</v>
      </c>
      <c r="C195">
        <v>3</v>
      </c>
      <c r="D195">
        <v>1</v>
      </c>
      <c r="E195">
        <v>56</v>
      </c>
      <c r="F195" s="1">
        <v>43234</v>
      </c>
      <c r="G195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E7A2-CE00-43DE-8D5F-C6761F2D8646}">
  <dimension ref="A1:G259"/>
  <sheetViews>
    <sheetView topLeftCell="A4" workbookViewId="0">
      <selection activeCell="A2" sqref="A2"/>
    </sheetView>
  </sheetViews>
  <sheetFormatPr defaultRowHeight="14.4" x14ac:dyDescent="0.3"/>
  <cols>
    <col min="1" max="1" width="20.88671875" bestFit="1" customWidth="1"/>
    <col min="2" max="2" width="12.77734375" bestFit="1" customWidth="1"/>
    <col min="3" max="3" width="14.5546875" bestFit="1" customWidth="1"/>
    <col min="4" max="4" width="17.109375" bestFit="1" customWidth="1"/>
    <col min="5" max="5" width="18.88671875" bestFit="1" customWidth="1"/>
    <col min="6" max="6" width="10.5546875" bestFit="1" customWidth="1"/>
    <col min="7" max="7" width="12.109375" customWidth="1"/>
  </cols>
  <sheetData>
    <row r="1" spans="1:7" s="3" customFormat="1" x14ac:dyDescent="0.3">
      <c r="A1" s="3" t="s">
        <v>0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52</v>
      </c>
      <c r="G1" s="2" t="s">
        <v>53</v>
      </c>
    </row>
    <row r="2" spans="1:7" x14ac:dyDescent="0.3">
      <c r="A2" t="s">
        <v>13</v>
      </c>
      <c r="B2">
        <v>67</v>
      </c>
      <c r="C2">
        <v>12</v>
      </c>
      <c r="D2">
        <v>541</v>
      </c>
      <c r="E2">
        <v>14</v>
      </c>
      <c r="F2" s="1">
        <v>42401</v>
      </c>
      <c r="G2" t="s">
        <v>2</v>
      </c>
    </row>
    <row r="3" spans="1:7" x14ac:dyDescent="0.3">
      <c r="A3" t="s">
        <v>13</v>
      </c>
      <c r="B3">
        <v>58</v>
      </c>
      <c r="C3">
        <v>13</v>
      </c>
      <c r="D3">
        <v>530</v>
      </c>
      <c r="E3">
        <v>29</v>
      </c>
      <c r="F3" s="1">
        <v>42511</v>
      </c>
      <c r="G3" t="s">
        <v>24</v>
      </c>
    </row>
    <row r="4" spans="1:7" x14ac:dyDescent="0.3">
      <c r="A4" t="s">
        <v>13</v>
      </c>
      <c r="B4">
        <v>38</v>
      </c>
      <c r="C4">
        <v>10</v>
      </c>
      <c r="D4">
        <v>503</v>
      </c>
      <c r="E4">
        <v>15</v>
      </c>
      <c r="F4" s="1">
        <v>42558</v>
      </c>
      <c r="G4" t="s">
        <v>25</v>
      </c>
    </row>
    <row r="5" spans="1:7" x14ac:dyDescent="0.3">
      <c r="A5" t="s">
        <v>13</v>
      </c>
      <c r="B5">
        <v>48</v>
      </c>
      <c r="C5">
        <v>14</v>
      </c>
      <c r="D5">
        <v>494</v>
      </c>
      <c r="E5">
        <v>17</v>
      </c>
      <c r="F5" s="1">
        <v>42622</v>
      </c>
      <c r="G5" t="s">
        <v>26</v>
      </c>
    </row>
    <row r="6" spans="1:7" x14ac:dyDescent="0.3">
      <c r="A6" t="s">
        <v>13</v>
      </c>
      <c r="B6">
        <v>50</v>
      </c>
      <c r="C6">
        <v>11</v>
      </c>
      <c r="D6">
        <v>523</v>
      </c>
      <c r="E6">
        <v>11</v>
      </c>
      <c r="F6" s="1">
        <v>42792</v>
      </c>
      <c r="G6" t="s">
        <v>2</v>
      </c>
    </row>
    <row r="7" spans="1:7" x14ac:dyDescent="0.3">
      <c r="A7" t="s">
        <v>13</v>
      </c>
      <c r="B7">
        <v>30</v>
      </c>
      <c r="C7">
        <v>8</v>
      </c>
      <c r="D7">
        <v>347</v>
      </c>
      <c r="E7">
        <v>7</v>
      </c>
      <c r="F7" s="1">
        <v>42924</v>
      </c>
      <c r="G7" t="s">
        <v>24</v>
      </c>
    </row>
    <row r="8" spans="1:7" x14ac:dyDescent="0.3">
      <c r="A8" t="s">
        <v>13</v>
      </c>
      <c r="B8">
        <v>37</v>
      </c>
      <c r="C8">
        <v>14</v>
      </c>
      <c r="D8">
        <v>383</v>
      </c>
      <c r="E8">
        <v>6</v>
      </c>
      <c r="F8" s="1">
        <v>42973</v>
      </c>
      <c r="G8" t="s">
        <v>26</v>
      </c>
    </row>
    <row r="9" spans="1:7" x14ac:dyDescent="0.3">
      <c r="A9" t="s">
        <v>13</v>
      </c>
      <c r="B9">
        <v>30</v>
      </c>
      <c r="C9">
        <v>6</v>
      </c>
      <c r="D9">
        <v>358</v>
      </c>
      <c r="E9">
        <v>5</v>
      </c>
      <c r="F9" s="1">
        <v>42973</v>
      </c>
      <c r="G9" t="s">
        <v>25</v>
      </c>
    </row>
    <row r="10" spans="1:7" x14ac:dyDescent="0.3">
      <c r="A10" t="s">
        <v>13</v>
      </c>
      <c r="B10">
        <v>26</v>
      </c>
      <c r="C10">
        <v>13</v>
      </c>
      <c r="D10">
        <v>380</v>
      </c>
      <c r="E10">
        <v>4</v>
      </c>
      <c r="F10" s="1">
        <v>43147</v>
      </c>
      <c r="G10" t="s">
        <v>2</v>
      </c>
    </row>
    <row r="11" spans="1:7" x14ac:dyDescent="0.3">
      <c r="A11" t="s">
        <v>13</v>
      </c>
      <c r="B11">
        <v>44</v>
      </c>
      <c r="C11">
        <v>4</v>
      </c>
      <c r="D11">
        <v>279</v>
      </c>
      <c r="E11">
        <v>11</v>
      </c>
      <c r="F11" s="1">
        <v>43236</v>
      </c>
      <c r="G11" t="s">
        <v>24</v>
      </c>
    </row>
    <row r="12" spans="1:7" x14ac:dyDescent="0.3">
      <c r="A12" t="s">
        <v>13</v>
      </c>
      <c r="B12">
        <v>30</v>
      </c>
      <c r="C12">
        <v>10</v>
      </c>
      <c r="D12">
        <v>342</v>
      </c>
      <c r="E12">
        <v>11</v>
      </c>
      <c r="F12" s="1">
        <v>43236</v>
      </c>
      <c r="G12" t="s">
        <v>25</v>
      </c>
    </row>
    <row r="13" spans="1:7" x14ac:dyDescent="0.3">
      <c r="A13" t="s">
        <v>13</v>
      </c>
      <c r="B13">
        <v>38</v>
      </c>
      <c r="C13">
        <v>7</v>
      </c>
      <c r="D13">
        <v>304</v>
      </c>
      <c r="E13">
        <v>1</v>
      </c>
      <c r="F13" s="1">
        <v>43236</v>
      </c>
      <c r="G13" t="s">
        <v>26</v>
      </c>
    </row>
    <row r="14" spans="1:7" x14ac:dyDescent="0.3">
      <c r="A14" t="s">
        <v>20</v>
      </c>
      <c r="B14">
        <v>0</v>
      </c>
      <c r="C14">
        <v>0</v>
      </c>
      <c r="D14">
        <v>74</v>
      </c>
      <c r="E14">
        <v>0</v>
      </c>
      <c r="F14" s="1">
        <v>42401</v>
      </c>
      <c r="G14" t="s">
        <v>2</v>
      </c>
    </row>
    <row r="15" spans="1:7" x14ac:dyDescent="0.3">
      <c r="A15" t="s">
        <v>20</v>
      </c>
      <c r="B15">
        <v>2</v>
      </c>
      <c r="C15">
        <v>0</v>
      </c>
      <c r="D15">
        <v>67</v>
      </c>
      <c r="E15">
        <v>0</v>
      </c>
      <c r="F15" s="1">
        <v>42511</v>
      </c>
      <c r="G15" t="s">
        <v>24</v>
      </c>
    </row>
    <row r="16" spans="1:7" x14ac:dyDescent="0.3">
      <c r="A16" t="s">
        <v>20</v>
      </c>
      <c r="B16">
        <v>3</v>
      </c>
      <c r="C16">
        <v>0</v>
      </c>
      <c r="D16">
        <v>45</v>
      </c>
      <c r="E16">
        <v>1</v>
      </c>
      <c r="F16" s="1">
        <v>42558</v>
      </c>
      <c r="G16" t="s">
        <v>25</v>
      </c>
    </row>
    <row r="17" spans="1:7" x14ac:dyDescent="0.3">
      <c r="A17" t="s">
        <v>20</v>
      </c>
      <c r="B17">
        <v>0</v>
      </c>
      <c r="C17">
        <v>0</v>
      </c>
      <c r="D17">
        <v>75</v>
      </c>
      <c r="E17">
        <v>2</v>
      </c>
      <c r="F17" s="1">
        <v>42622</v>
      </c>
      <c r="G17" t="s">
        <v>26</v>
      </c>
    </row>
    <row r="18" spans="1:7" x14ac:dyDescent="0.3">
      <c r="A18" t="s">
        <v>20</v>
      </c>
      <c r="B18">
        <v>0</v>
      </c>
      <c r="C18">
        <v>0</v>
      </c>
      <c r="D18">
        <v>51</v>
      </c>
      <c r="E18">
        <v>0</v>
      </c>
      <c r="F18" s="1">
        <v>42799</v>
      </c>
      <c r="G18" t="s">
        <v>2</v>
      </c>
    </row>
    <row r="19" spans="1:7" x14ac:dyDescent="0.3">
      <c r="A19" t="s">
        <v>20</v>
      </c>
      <c r="B19">
        <v>0</v>
      </c>
      <c r="C19">
        <v>0</v>
      </c>
      <c r="D19">
        <v>49</v>
      </c>
      <c r="E19">
        <v>0</v>
      </c>
      <c r="F19" s="1">
        <v>42980</v>
      </c>
      <c r="G19" t="s">
        <v>26</v>
      </c>
    </row>
    <row r="20" spans="1:7" x14ac:dyDescent="0.3">
      <c r="A20" t="s">
        <v>20</v>
      </c>
      <c r="B20">
        <v>0</v>
      </c>
      <c r="C20">
        <v>0</v>
      </c>
      <c r="D20">
        <v>22</v>
      </c>
      <c r="E20">
        <v>0</v>
      </c>
      <c r="F20" s="1">
        <v>42979</v>
      </c>
      <c r="G20" t="s">
        <v>25</v>
      </c>
    </row>
    <row r="21" spans="1:7" x14ac:dyDescent="0.3">
      <c r="A21" t="s">
        <v>20</v>
      </c>
      <c r="B21">
        <v>1</v>
      </c>
      <c r="C21">
        <v>0</v>
      </c>
      <c r="D21">
        <v>35</v>
      </c>
      <c r="E21">
        <v>0</v>
      </c>
      <c r="F21" s="1">
        <v>42924</v>
      </c>
      <c r="G21" t="s">
        <v>24</v>
      </c>
    </row>
    <row r="22" spans="1:7" x14ac:dyDescent="0.3">
      <c r="A22" t="s">
        <v>20</v>
      </c>
      <c r="B22">
        <v>1</v>
      </c>
      <c r="C22">
        <v>0</v>
      </c>
      <c r="D22">
        <v>43</v>
      </c>
      <c r="E22">
        <v>0</v>
      </c>
      <c r="F22" s="1">
        <v>43154</v>
      </c>
      <c r="G22" t="s">
        <v>2</v>
      </c>
    </row>
    <row r="23" spans="1:7" x14ac:dyDescent="0.3">
      <c r="A23" t="s">
        <v>20</v>
      </c>
      <c r="B23">
        <v>1</v>
      </c>
      <c r="C23">
        <v>0</v>
      </c>
      <c r="D23">
        <v>36</v>
      </c>
      <c r="E23">
        <v>0</v>
      </c>
      <c r="F23" s="1">
        <v>43243</v>
      </c>
      <c r="G23" t="s">
        <v>24</v>
      </c>
    </row>
    <row r="24" spans="1:7" x14ac:dyDescent="0.3">
      <c r="A24" t="s">
        <v>20</v>
      </c>
      <c r="B24">
        <v>0</v>
      </c>
      <c r="C24">
        <v>0</v>
      </c>
      <c r="D24">
        <v>30</v>
      </c>
      <c r="E24">
        <v>0</v>
      </c>
      <c r="F24" s="1">
        <v>43243</v>
      </c>
      <c r="G24" t="s">
        <v>25</v>
      </c>
    </row>
    <row r="25" spans="1:7" x14ac:dyDescent="0.3">
      <c r="A25" t="s">
        <v>20</v>
      </c>
      <c r="B25">
        <v>1</v>
      </c>
      <c r="C25">
        <v>0</v>
      </c>
      <c r="D25">
        <v>42</v>
      </c>
      <c r="E25">
        <v>0</v>
      </c>
      <c r="F25" s="1">
        <v>43243</v>
      </c>
      <c r="G25" t="s">
        <v>26</v>
      </c>
    </row>
    <row r="26" spans="1:7" x14ac:dyDescent="0.3">
      <c r="A26" t="s">
        <v>14</v>
      </c>
      <c r="B26">
        <v>1</v>
      </c>
      <c r="C26">
        <v>1</v>
      </c>
      <c r="D26">
        <v>19</v>
      </c>
      <c r="E26">
        <v>0</v>
      </c>
      <c r="F26" s="1">
        <v>42401</v>
      </c>
      <c r="G26" t="s">
        <v>2</v>
      </c>
    </row>
    <row r="27" spans="1:7" x14ac:dyDescent="0.3">
      <c r="A27" t="s">
        <v>14</v>
      </c>
      <c r="B27">
        <v>0</v>
      </c>
      <c r="C27">
        <v>0</v>
      </c>
      <c r="D27">
        <v>11</v>
      </c>
      <c r="E27">
        <v>1</v>
      </c>
      <c r="F27" s="1">
        <v>42511</v>
      </c>
      <c r="G27" t="s">
        <v>24</v>
      </c>
    </row>
    <row r="28" spans="1:7" x14ac:dyDescent="0.3">
      <c r="A28" t="s">
        <v>14</v>
      </c>
      <c r="B28">
        <v>0</v>
      </c>
      <c r="C28">
        <v>0</v>
      </c>
      <c r="D28">
        <v>24</v>
      </c>
      <c r="E28">
        <v>0</v>
      </c>
      <c r="F28" s="1">
        <v>42558</v>
      </c>
      <c r="G28" t="s">
        <v>25</v>
      </c>
    </row>
    <row r="29" spans="1:7" x14ac:dyDescent="0.3">
      <c r="A29" t="s">
        <v>14</v>
      </c>
      <c r="B29">
        <v>1</v>
      </c>
      <c r="C29">
        <v>0</v>
      </c>
      <c r="D29">
        <v>24</v>
      </c>
      <c r="E29">
        <v>0</v>
      </c>
      <c r="F29" s="1">
        <v>42622</v>
      </c>
      <c r="G29" t="s">
        <v>26</v>
      </c>
    </row>
    <row r="30" spans="1:7" x14ac:dyDescent="0.3">
      <c r="A30" t="s">
        <v>14</v>
      </c>
      <c r="B30">
        <v>1</v>
      </c>
      <c r="C30">
        <v>0</v>
      </c>
      <c r="D30">
        <v>17</v>
      </c>
      <c r="E30">
        <v>0</v>
      </c>
      <c r="F30" s="1">
        <v>42793</v>
      </c>
      <c r="G30" t="s">
        <v>2</v>
      </c>
    </row>
    <row r="31" spans="1:7" x14ac:dyDescent="0.3">
      <c r="A31" t="s">
        <v>14</v>
      </c>
      <c r="B31">
        <v>0</v>
      </c>
      <c r="C31">
        <v>0</v>
      </c>
      <c r="D31">
        <v>1</v>
      </c>
      <c r="E31">
        <v>0</v>
      </c>
      <c r="F31" s="1">
        <v>42974</v>
      </c>
      <c r="G31" t="s">
        <v>25</v>
      </c>
    </row>
    <row r="32" spans="1:7" x14ac:dyDescent="0.3">
      <c r="A32" t="s">
        <v>14</v>
      </c>
      <c r="B32">
        <v>0</v>
      </c>
      <c r="C32">
        <v>0</v>
      </c>
      <c r="D32">
        <v>3</v>
      </c>
      <c r="E32">
        <v>0</v>
      </c>
      <c r="F32" s="1">
        <v>42924</v>
      </c>
      <c r="G32" t="s">
        <v>24</v>
      </c>
    </row>
    <row r="33" spans="1:7" x14ac:dyDescent="0.3">
      <c r="A33" t="s">
        <v>14</v>
      </c>
      <c r="B33">
        <v>0</v>
      </c>
      <c r="C33">
        <v>0</v>
      </c>
      <c r="D33">
        <v>1</v>
      </c>
      <c r="E33">
        <v>0</v>
      </c>
      <c r="F33" s="1">
        <v>42974</v>
      </c>
      <c r="G33" t="s">
        <v>26</v>
      </c>
    </row>
    <row r="34" spans="1:7" x14ac:dyDescent="0.3">
      <c r="A34" t="s">
        <v>14</v>
      </c>
      <c r="B34">
        <v>0</v>
      </c>
      <c r="C34">
        <v>0</v>
      </c>
      <c r="D34">
        <v>6</v>
      </c>
      <c r="E34">
        <v>0</v>
      </c>
      <c r="F34" s="1">
        <v>43148</v>
      </c>
      <c r="G34" t="s">
        <v>2</v>
      </c>
    </row>
    <row r="35" spans="1:7" x14ac:dyDescent="0.3">
      <c r="A35" t="s">
        <v>14</v>
      </c>
      <c r="B35">
        <v>1</v>
      </c>
      <c r="C35">
        <v>0</v>
      </c>
      <c r="D35">
        <v>2</v>
      </c>
      <c r="E35">
        <v>0</v>
      </c>
      <c r="F35" s="1">
        <v>43237</v>
      </c>
      <c r="G35" t="s">
        <v>24</v>
      </c>
    </row>
    <row r="36" spans="1:7" x14ac:dyDescent="0.3">
      <c r="A36" t="s">
        <v>14</v>
      </c>
      <c r="B36">
        <v>0</v>
      </c>
      <c r="C36">
        <v>0</v>
      </c>
      <c r="D36">
        <v>1</v>
      </c>
      <c r="E36">
        <v>0</v>
      </c>
      <c r="F36" s="1">
        <v>43237</v>
      </c>
      <c r="G36" t="s">
        <v>25</v>
      </c>
    </row>
    <row r="37" spans="1:7" x14ac:dyDescent="0.3">
      <c r="A37" t="s">
        <v>14</v>
      </c>
      <c r="B37">
        <v>0</v>
      </c>
      <c r="C37">
        <v>0</v>
      </c>
      <c r="D37">
        <v>31</v>
      </c>
      <c r="E37">
        <v>0</v>
      </c>
      <c r="F37" s="1">
        <v>43237</v>
      </c>
      <c r="G37" t="s">
        <v>26</v>
      </c>
    </row>
    <row r="38" spans="1:7" x14ac:dyDescent="0.3">
      <c r="A38" t="s">
        <v>5</v>
      </c>
      <c r="B38">
        <v>5</v>
      </c>
      <c r="C38">
        <v>1</v>
      </c>
      <c r="D38">
        <v>21</v>
      </c>
      <c r="E38">
        <v>0</v>
      </c>
      <c r="F38" s="1">
        <v>42401</v>
      </c>
      <c r="G38" t="s">
        <v>2</v>
      </c>
    </row>
    <row r="39" spans="1:7" x14ac:dyDescent="0.3">
      <c r="A39" t="s">
        <v>5</v>
      </c>
      <c r="B39">
        <v>5</v>
      </c>
      <c r="C39">
        <v>3</v>
      </c>
      <c r="D39">
        <v>43</v>
      </c>
      <c r="E39">
        <v>0</v>
      </c>
      <c r="F39" s="1">
        <v>42511</v>
      </c>
      <c r="G39" t="s">
        <v>24</v>
      </c>
    </row>
    <row r="40" spans="1:7" x14ac:dyDescent="0.3">
      <c r="A40" t="s">
        <v>5</v>
      </c>
      <c r="B40">
        <v>3</v>
      </c>
      <c r="C40">
        <v>0</v>
      </c>
      <c r="D40">
        <v>33</v>
      </c>
      <c r="E40">
        <v>0</v>
      </c>
      <c r="F40" s="1">
        <v>42558</v>
      </c>
      <c r="G40" t="s">
        <v>25</v>
      </c>
    </row>
    <row r="41" spans="1:7" x14ac:dyDescent="0.3">
      <c r="A41" t="s">
        <v>5</v>
      </c>
      <c r="B41">
        <v>5</v>
      </c>
      <c r="C41">
        <v>1</v>
      </c>
      <c r="D41">
        <v>50</v>
      </c>
      <c r="E41">
        <v>0</v>
      </c>
      <c r="F41" s="1">
        <v>42622</v>
      </c>
      <c r="G41" t="s">
        <v>26</v>
      </c>
    </row>
    <row r="42" spans="1:7" x14ac:dyDescent="0.3">
      <c r="A42" t="s">
        <v>5</v>
      </c>
      <c r="B42">
        <v>18</v>
      </c>
      <c r="C42">
        <v>2</v>
      </c>
      <c r="D42">
        <v>41</v>
      </c>
      <c r="E42">
        <v>1</v>
      </c>
      <c r="F42" s="1">
        <v>42784</v>
      </c>
      <c r="G42" t="s">
        <v>2</v>
      </c>
    </row>
    <row r="43" spans="1:7" x14ac:dyDescent="0.3">
      <c r="A43" t="s">
        <v>5</v>
      </c>
      <c r="B43">
        <v>1</v>
      </c>
      <c r="C43">
        <v>0</v>
      </c>
      <c r="D43">
        <v>12</v>
      </c>
      <c r="E43">
        <v>0</v>
      </c>
      <c r="F43" s="1">
        <v>42924</v>
      </c>
      <c r="G43" t="s">
        <v>24</v>
      </c>
    </row>
    <row r="44" spans="1:7" x14ac:dyDescent="0.3">
      <c r="A44" t="s">
        <v>5</v>
      </c>
      <c r="B44">
        <v>10</v>
      </c>
      <c r="C44">
        <v>0</v>
      </c>
      <c r="D44">
        <v>14</v>
      </c>
      <c r="E44">
        <v>0</v>
      </c>
      <c r="F44" s="1">
        <v>42965</v>
      </c>
      <c r="G44" t="s">
        <v>26</v>
      </c>
    </row>
    <row r="45" spans="1:7" x14ac:dyDescent="0.3">
      <c r="A45" t="s">
        <v>5</v>
      </c>
      <c r="B45">
        <v>3</v>
      </c>
      <c r="C45">
        <v>0</v>
      </c>
      <c r="D45">
        <v>17</v>
      </c>
      <c r="E45">
        <v>0</v>
      </c>
      <c r="F45" s="1">
        <v>42965</v>
      </c>
      <c r="G45" t="s">
        <v>25</v>
      </c>
    </row>
    <row r="46" spans="1:7" x14ac:dyDescent="0.3">
      <c r="A46" t="s">
        <v>5</v>
      </c>
      <c r="B46">
        <v>3</v>
      </c>
      <c r="C46">
        <v>1</v>
      </c>
      <c r="D46">
        <v>30</v>
      </c>
      <c r="E46">
        <v>0</v>
      </c>
      <c r="F46" s="1">
        <v>43139</v>
      </c>
      <c r="G46" t="s">
        <v>2</v>
      </c>
    </row>
    <row r="47" spans="1:7" x14ac:dyDescent="0.3">
      <c r="A47" t="s">
        <v>5</v>
      </c>
      <c r="B47">
        <v>3</v>
      </c>
      <c r="C47">
        <v>0</v>
      </c>
      <c r="D47">
        <v>17</v>
      </c>
      <c r="E47">
        <v>0</v>
      </c>
      <c r="F47" s="1">
        <v>43228</v>
      </c>
      <c r="G47" t="s">
        <v>24</v>
      </c>
    </row>
    <row r="48" spans="1:7" x14ac:dyDescent="0.3">
      <c r="A48" t="s">
        <v>5</v>
      </c>
      <c r="B48">
        <v>5</v>
      </c>
      <c r="C48">
        <v>0</v>
      </c>
      <c r="D48">
        <v>22</v>
      </c>
      <c r="E48">
        <v>0</v>
      </c>
      <c r="F48" s="1">
        <v>43228</v>
      </c>
      <c r="G48" t="s">
        <v>25</v>
      </c>
    </row>
    <row r="49" spans="1:7" x14ac:dyDescent="0.3">
      <c r="A49" t="s">
        <v>5</v>
      </c>
      <c r="B49">
        <v>5</v>
      </c>
      <c r="C49">
        <v>1</v>
      </c>
      <c r="D49">
        <v>16</v>
      </c>
      <c r="E49">
        <v>0</v>
      </c>
      <c r="F49" s="1">
        <v>43228</v>
      </c>
      <c r="G49" t="s">
        <v>26</v>
      </c>
    </row>
    <row r="50" spans="1:7" x14ac:dyDescent="0.3">
      <c r="A50" t="s">
        <v>3</v>
      </c>
      <c r="B50">
        <v>2</v>
      </c>
      <c r="C50">
        <v>0</v>
      </c>
      <c r="D50">
        <v>201</v>
      </c>
      <c r="E50">
        <v>0</v>
      </c>
      <c r="F50" s="1">
        <v>42401</v>
      </c>
      <c r="G50" t="s">
        <v>2</v>
      </c>
    </row>
    <row r="51" spans="1:7" x14ac:dyDescent="0.3">
      <c r="A51" t="s">
        <v>3</v>
      </c>
      <c r="B51">
        <v>0</v>
      </c>
      <c r="C51">
        <v>0</v>
      </c>
      <c r="D51">
        <v>227</v>
      </c>
      <c r="E51">
        <v>1</v>
      </c>
      <c r="F51" s="1">
        <v>42511</v>
      </c>
      <c r="G51" t="s">
        <v>24</v>
      </c>
    </row>
    <row r="52" spans="1:7" x14ac:dyDescent="0.3">
      <c r="A52" t="s">
        <v>3</v>
      </c>
      <c r="B52">
        <v>4</v>
      </c>
      <c r="C52">
        <v>1</v>
      </c>
      <c r="D52">
        <v>188</v>
      </c>
      <c r="E52">
        <v>0</v>
      </c>
      <c r="F52" s="1">
        <v>42558</v>
      </c>
      <c r="G52" t="s">
        <v>25</v>
      </c>
    </row>
    <row r="53" spans="1:7" x14ac:dyDescent="0.3">
      <c r="A53" t="s">
        <v>3</v>
      </c>
      <c r="B53">
        <v>9</v>
      </c>
      <c r="C53">
        <v>0</v>
      </c>
      <c r="D53">
        <v>295</v>
      </c>
      <c r="E53">
        <v>0</v>
      </c>
      <c r="F53" s="1">
        <v>42622</v>
      </c>
      <c r="G53" t="s">
        <v>26</v>
      </c>
    </row>
    <row r="54" spans="1:7" x14ac:dyDescent="0.3">
      <c r="A54" t="s">
        <v>3</v>
      </c>
      <c r="B54">
        <v>2</v>
      </c>
      <c r="C54">
        <v>0</v>
      </c>
      <c r="D54">
        <v>284</v>
      </c>
      <c r="E54">
        <v>0</v>
      </c>
      <c r="F54" s="1">
        <v>42782</v>
      </c>
      <c r="G54" t="s">
        <v>2</v>
      </c>
    </row>
    <row r="55" spans="1:7" x14ac:dyDescent="0.3">
      <c r="A55" t="s">
        <v>3</v>
      </c>
      <c r="B55">
        <v>6</v>
      </c>
      <c r="C55">
        <v>0</v>
      </c>
      <c r="D55">
        <v>192</v>
      </c>
      <c r="E55">
        <v>0</v>
      </c>
      <c r="F55" s="1">
        <v>42963</v>
      </c>
      <c r="G55" t="s">
        <v>26</v>
      </c>
    </row>
    <row r="56" spans="1:7" x14ac:dyDescent="0.3">
      <c r="A56" t="s">
        <v>3</v>
      </c>
      <c r="B56">
        <v>3</v>
      </c>
      <c r="C56">
        <v>0</v>
      </c>
      <c r="D56">
        <v>181</v>
      </c>
      <c r="E56">
        <v>1</v>
      </c>
      <c r="F56" s="1">
        <v>42963</v>
      </c>
      <c r="G56" t="s">
        <v>25</v>
      </c>
    </row>
    <row r="57" spans="1:7" x14ac:dyDescent="0.3">
      <c r="A57" t="s">
        <v>3</v>
      </c>
      <c r="B57">
        <v>0</v>
      </c>
      <c r="C57">
        <v>0</v>
      </c>
      <c r="D57">
        <v>166</v>
      </c>
      <c r="E57">
        <v>1</v>
      </c>
      <c r="F57" s="1">
        <v>42924</v>
      </c>
      <c r="G57" t="s">
        <v>24</v>
      </c>
    </row>
    <row r="58" spans="1:7" x14ac:dyDescent="0.3">
      <c r="A58" t="s">
        <v>3</v>
      </c>
      <c r="B58">
        <v>5</v>
      </c>
      <c r="C58">
        <v>1</v>
      </c>
      <c r="D58">
        <v>196</v>
      </c>
      <c r="E58">
        <v>2</v>
      </c>
      <c r="F58" s="1">
        <v>43137</v>
      </c>
      <c r="G58" t="s">
        <v>2</v>
      </c>
    </row>
    <row r="59" spans="1:7" x14ac:dyDescent="0.3">
      <c r="A59" t="s">
        <v>3</v>
      </c>
      <c r="B59">
        <v>4</v>
      </c>
      <c r="C59">
        <v>0</v>
      </c>
      <c r="D59">
        <v>148</v>
      </c>
      <c r="E59">
        <v>0</v>
      </c>
      <c r="F59" s="1">
        <v>43226</v>
      </c>
      <c r="G59" t="s">
        <v>24</v>
      </c>
    </row>
    <row r="60" spans="1:7" x14ac:dyDescent="0.3">
      <c r="A60" t="s">
        <v>3</v>
      </c>
      <c r="B60">
        <v>2</v>
      </c>
      <c r="C60">
        <v>1</v>
      </c>
      <c r="D60">
        <v>169</v>
      </c>
      <c r="E60">
        <v>1</v>
      </c>
      <c r="F60" s="1">
        <v>43226</v>
      </c>
      <c r="G60" t="s">
        <v>25</v>
      </c>
    </row>
    <row r="61" spans="1:7" x14ac:dyDescent="0.3">
      <c r="A61" t="s">
        <v>3</v>
      </c>
      <c r="B61">
        <v>4</v>
      </c>
      <c r="C61">
        <v>0</v>
      </c>
      <c r="D61">
        <v>172</v>
      </c>
      <c r="E61">
        <v>0</v>
      </c>
      <c r="F61" s="1">
        <v>43226</v>
      </c>
      <c r="G61" t="s">
        <v>26</v>
      </c>
    </row>
    <row r="62" spans="1:7" x14ac:dyDescent="0.3">
      <c r="A62" t="s">
        <v>10</v>
      </c>
      <c r="B62">
        <v>5</v>
      </c>
      <c r="C62">
        <v>0</v>
      </c>
      <c r="D62">
        <v>389</v>
      </c>
      <c r="E62">
        <v>2</v>
      </c>
      <c r="F62" s="1">
        <v>42401</v>
      </c>
      <c r="G62" t="s">
        <v>2</v>
      </c>
    </row>
    <row r="63" spans="1:7" x14ac:dyDescent="0.3">
      <c r="A63" t="s">
        <v>10</v>
      </c>
      <c r="B63">
        <v>2</v>
      </c>
      <c r="C63">
        <v>1</v>
      </c>
      <c r="D63">
        <v>305</v>
      </c>
      <c r="E63">
        <v>0</v>
      </c>
      <c r="F63" s="1">
        <v>42511</v>
      </c>
      <c r="G63" t="s">
        <v>24</v>
      </c>
    </row>
    <row r="64" spans="1:7" x14ac:dyDescent="0.3">
      <c r="A64" t="s">
        <v>10</v>
      </c>
      <c r="B64">
        <v>9</v>
      </c>
      <c r="C64">
        <v>0</v>
      </c>
      <c r="D64">
        <v>204</v>
      </c>
      <c r="E64">
        <v>0</v>
      </c>
      <c r="F64" s="1">
        <v>42558</v>
      </c>
      <c r="G64" t="s">
        <v>25</v>
      </c>
    </row>
    <row r="65" spans="1:7" x14ac:dyDescent="0.3">
      <c r="A65" t="s">
        <v>10</v>
      </c>
      <c r="B65">
        <v>6</v>
      </c>
      <c r="C65">
        <v>1</v>
      </c>
      <c r="D65">
        <v>206</v>
      </c>
      <c r="E65">
        <v>0</v>
      </c>
      <c r="F65" s="1">
        <v>42622</v>
      </c>
      <c r="G65" t="s">
        <v>26</v>
      </c>
    </row>
    <row r="66" spans="1:7" x14ac:dyDescent="0.3">
      <c r="A66" t="s">
        <v>10</v>
      </c>
      <c r="B66">
        <v>9</v>
      </c>
      <c r="C66">
        <v>0</v>
      </c>
      <c r="D66">
        <v>233</v>
      </c>
      <c r="E66">
        <v>1</v>
      </c>
      <c r="F66" s="1">
        <v>42789</v>
      </c>
      <c r="G66" t="s">
        <v>2</v>
      </c>
    </row>
    <row r="67" spans="1:7" x14ac:dyDescent="0.3">
      <c r="A67" t="s">
        <v>10</v>
      </c>
      <c r="B67">
        <v>4</v>
      </c>
      <c r="C67">
        <v>0</v>
      </c>
      <c r="D67">
        <v>121</v>
      </c>
      <c r="E67">
        <v>0</v>
      </c>
      <c r="F67" s="1">
        <v>42970</v>
      </c>
      <c r="G67" t="s">
        <v>25</v>
      </c>
    </row>
    <row r="68" spans="1:7" x14ac:dyDescent="0.3">
      <c r="A68" t="s">
        <v>10</v>
      </c>
      <c r="B68">
        <v>4</v>
      </c>
      <c r="C68">
        <v>1</v>
      </c>
      <c r="D68">
        <v>133</v>
      </c>
      <c r="E68">
        <v>1</v>
      </c>
      <c r="F68" s="1">
        <v>42924</v>
      </c>
      <c r="G68" t="s">
        <v>24</v>
      </c>
    </row>
    <row r="69" spans="1:7" x14ac:dyDescent="0.3">
      <c r="A69" t="s">
        <v>10</v>
      </c>
      <c r="B69">
        <v>2</v>
      </c>
      <c r="C69">
        <v>1</v>
      </c>
      <c r="D69">
        <v>115</v>
      </c>
      <c r="E69">
        <v>0</v>
      </c>
      <c r="F69" s="1">
        <v>42970</v>
      </c>
      <c r="G69" t="s">
        <v>26</v>
      </c>
    </row>
    <row r="70" spans="1:7" x14ac:dyDescent="0.3">
      <c r="A70" t="s">
        <v>10</v>
      </c>
      <c r="B70">
        <v>5</v>
      </c>
      <c r="C70">
        <v>0</v>
      </c>
      <c r="D70">
        <v>130</v>
      </c>
      <c r="E70">
        <v>0</v>
      </c>
      <c r="F70" s="1">
        <v>43144</v>
      </c>
      <c r="G70" t="s">
        <v>2</v>
      </c>
    </row>
    <row r="71" spans="1:7" x14ac:dyDescent="0.3">
      <c r="A71" t="s">
        <v>10</v>
      </c>
      <c r="B71">
        <v>5</v>
      </c>
      <c r="C71">
        <v>1</v>
      </c>
      <c r="D71">
        <v>120</v>
      </c>
      <c r="E71">
        <v>0</v>
      </c>
      <c r="F71" s="1">
        <v>43233</v>
      </c>
      <c r="G71" t="s">
        <v>24</v>
      </c>
    </row>
    <row r="72" spans="1:7" x14ac:dyDescent="0.3">
      <c r="A72" t="s">
        <v>10</v>
      </c>
      <c r="B72">
        <v>5</v>
      </c>
      <c r="C72">
        <v>0</v>
      </c>
      <c r="D72">
        <v>113</v>
      </c>
      <c r="E72">
        <v>1</v>
      </c>
      <c r="F72" s="1">
        <v>43233</v>
      </c>
      <c r="G72" t="s">
        <v>25</v>
      </c>
    </row>
    <row r="73" spans="1:7" x14ac:dyDescent="0.3">
      <c r="A73" t="s">
        <v>10</v>
      </c>
      <c r="B73">
        <v>4</v>
      </c>
      <c r="C73">
        <v>1</v>
      </c>
      <c r="D73">
        <v>135</v>
      </c>
      <c r="E73">
        <v>1</v>
      </c>
      <c r="F73" s="1">
        <v>43233</v>
      </c>
      <c r="G73" t="s">
        <v>26</v>
      </c>
    </row>
    <row r="74" spans="1:7" x14ac:dyDescent="0.3">
      <c r="A74" t="s">
        <v>18</v>
      </c>
      <c r="B74">
        <v>17</v>
      </c>
      <c r="C74">
        <v>2</v>
      </c>
      <c r="D74">
        <v>712</v>
      </c>
      <c r="E74">
        <v>4</v>
      </c>
      <c r="F74" s="1">
        <v>42401</v>
      </c>
      <c r="G74" t="s">
        <v>2</v>
      </c>
    </row>
    <row r="75" spans="1:7" x14ac:dyDescent="0.3">
      <c r="A75" t="s">
        <v>18</v>
      </c>
      <c r="B75">
        <v>15</v>
      </c>
      <c r="C75">
        <v>4</v>
      </c>
      <c r="D75">
        <v>755</v>
      </c>
      <c r="E75">
        <v>3</v>
      </c>
      <c r="F75" s="1">
        <v>42511</v>
      </c>
      <c r="G75" t="s">
        <v>24</v>
      </c>
    </row>
    <row r="76" spans="1:7" x14ac:dyDescent="0.3">
      <c r="A76" t="s">
        <v>18</v>
      </c>
      <c r="B76">
        <v>15</v>
      </c>
      <c r="C76">
        <v>2</v>
      </c>
      <c r="D76">
        <v>594</v>
      </c>
      <c r="E76">
        <v>4</v>
      </c>
      <c r="F76" s="1">
        <v>42558</v>
      </c>
      <c r="G76" t="s">
        <v>25</v>
      </c>
    </row>
    <row r="77" spans="1:7" x14ac:dyDescent="0.3">
      <c r="A77" t="s">
        <v>18</v>
      </c>
      <c r="B77">
        <v>22</v>
      </c>
      <c r="C77">
        <v>6</v>
      </c>
      <c r="D77">
        <v>645</v>
      </c>
      <c r="E77">
        <v>6</v>
      </c>
      <c r="F77" s="1">
        <v>42622</v>
      </c>
      <c r="G77" t="s">
        <v>26</v>
      </c>
    </row>
    <row r="78" spans="1:7" x14ac:dyDescent="0.3">
      <c r="A78" t="s">
        <v>18</v>
      </c>
      <c r="B78">
        <v>19</v>
      </c>
      <c r="C78">
        <v>4</v>
      </c>
      <c r="D78">
        <v>629</v>
      </c>
      <c r="E78">
        <v>7</v>
      </c>
      <c r="F78" s="1">
        <v>42797</v>
      </c>
      <c r="G78" t="s">
        <v>2</v>
      </c>
    </row>
    <row r="79" spans="1:7" x14ac:dyDescent="0.3">
      <c r="A79" t="s">
        <v>18</v>
      </c>
      <c r="B79">
        <v>14</v>
      </c>
      <c r="C79">
        <v>1</v>
      </c>
      <c r="D79">
        <v>405</v>
      </c>
      <c r="E79">
        <v>6</v>
      </c>
      <c r="F79" s="1">
        <v>42924</v>
      </c>
      <c r="G79" t="s">
        <v>24</v>
      </c>
    </row>
    <row r="80" spans="1:7" x14ac:dyDescent="0.3">
      <c r="A80" t="s">
        <v>18</v>
      </c>
      <c r="B80">
        <v>12</v>
      </c>
      <c r="C80">
        <v>1</v>
      </c>
      <c r="D80">
        <v>473</v>
      </c>
      <c r="E80">
        <v>0</v>
      </c>
      <c r="F80" s="1">
        <v>42978</v>
      </c>
      <c r="G80" t="s">
        <v>26</v>
      </c>
    </row>
    <row r="81" spans="1:7" x14ac:dyDescent="0.3">
      <c r="A81" t="s">
        <v>18</v>
      </c>
      <c r="B81">
        <v>7</v>
      </c>
      <c r="C81">
        <v>0</v>
      </c>
      <c r="D81">
        <v>350</v>
      </c>
      <c r="E81">
        <v>3</v>
      </c>
      <c r="F81" s="1">
        <v>42977</v>
      </c>
      <c r="G81" t="s">
        <v>25</v>
      </c>
    </row>
    <row r="82" spans="1:7" x14ac:dyDescent="0.3">
      <c r="A82" t="s">
        <v>18</v>
      </c>
      <c r="B82">
        <v>12</v>
      </c>
      <c r="C82">
        <v>0</v>
      </c>
      <c r="D82">
        <v>355</v>
      </c>
      <c r="E82">
        <v>3</v>
      </c>
      <c r="F82" s="1">
        <v>43152</v>
      </c>
      <c r="G82" t="s">
        <v>2</v>
      </c>
    </row>
    <row r="83" spans="1:7" x14ac:dyDescent="0.3">
      <c r="A83" t="s">
        <v>18</v>
      </c>
      <c r="B83">
        <v>11</v>
      </c>
      <c r="C83">
        <v>2</v>
      </c>
      <c r="D83">
        <v>284</v>
      </c>
      <c r="E83">
        <v>2</v>
      </c>
      <c r="F83" s="1">
        <v>43241</v>
      </c>
      <c r="G83" t="s">
        <v>24</v>
      </c>
    </row>
    <row r="84" spans="1:7" x14ac:dyDescent="0.3">
      <c r="A84" t="s">
        <v>18</v>
      </c>
      <c r="B84">
        <v>12</v>
      </c>
      <c r="C84">
        <v>2</v>
      </c>
      <c r="D84">
        <v>323</v>
      </c>
      <c r="E84">
        <v>1</v>
      </c>
      <c r="F84" s="1">
        <v>43241</v>
      </c>
      <c r="G84" t="s">
        <v>25</v>
      </c>
    </row>
    <row r="85" spans="1:7" x14ac:dyDescent="0.3">
      <c r="A85" t="s">
        <v>18</v>
      </c>
      <c r="B85">
        <v>11</v>
      </c>
      <c r="C85">
        <v>1</v>
      </c>
      <c r="D85">
        <v>325</v>
      </c>
      <c r="E85">
        <v>3</v>
      </c>
      <c r="F85" s="1">
        <v>43241</v>
      </c>
      <c r="G85" t="s">
        <v>26</v>
      </c>
    </row>
    <row r="86" spans="1:7" x14ac:dyDescent="0.3">
      <c r="A86" t="s">
        <v>22</v>
      </c>
      <c r="B86">
        <v>0</v>
      </c>
      <c r="C86">
        <v>0</v>
      </c>
      <c r="D86">
        <v>12</v>
      </c>
      <c r="E86">
        <v>1</v>
      </c>
      <c r="F86" s="1">
        <v>42401</v>
      </c>
      <c r="G86" t="s">
        <v>2</v>
      </c>
    </row>
    <row r="87" spans="1:7" x14ac:dyDescent="0.3">
      <c r="A87" t="s">
        <v>22</v>
      </c>
      <c r="B87">
        <v>2</v>
      </c>
      <c r="C87">
        <v>0</v>
      </c>
      <c r="D87">
        <v>11</v>
      </c>
      <c r="E87">
        <v>0</v>
      </c>
      <c r="F87" s="1">
        <v>42511</v>
      </c>
      <c r="G87" t="s">
        <v>24</v>
      </c>
    </row>
    <row r="88" spans="1:7" x14ac:dyDescent="0.3">
      <c r="A88" t="s">
        <v>22</v>
      </c>
      <c r="B88">
        <v>0</v>
      </c>
      <c r="C88">
        <v>0</v>
      </c>
      <c r="D88">
        <v>10</v>
      </c>
      <c r="E88">
        <v>0</v>
      </c>
      <c r="F88" s="1">
        <v>42558</v>
      </c>
      <c r="G88" t="s">
        <v>25</v>
      </c>
    </row>
    <row r="89" spans="1:7" x14ac:dyDescent="0.3">
      <c r="A89" t="s">
        <v>22</v>
      </c>
      <c r="B89">
        <v>1</v>
      </c>
      <c r="C89">
        <v>0</v>
      </c>
      <c r="D89">
        <v>13</v>
      </c>
      <c r="E89">
        <v>0</v>
      </c>
      <c r="F89" s="1">
        <v>42622</v>
      </c>
      <c r="G89" t="s">
        <v>26</v>
      </c>
    </row>
    <row r="90" spans="1:7" x14ac:dyDescent="0.3">
      <c r="A90" t="s">
        <v>22</v>
      </c>
      <c r="B90">
        <v>2</v>
      </c>
      <c r="C90">
        <v>0</v>
      </c>
      <c r="D90">
        <v>11</v>
      </c>
      <c r="E90">
        <v>0</v>
      </c>
      <c r="F90" s="1">
        <v>42801</v>
      </c>
      <c r="G90" t="s">
        <v>2</v>
      </c>
    </row>
    <row r="91" spans="1:7" x14ac:dyDescent="0.3">
      <c r="A91" t="s">
        <v>22</v>
      </c>
      <c r="B91">
        <v>0</v>
      </c>
      <c r="C91">
        <v>0</v>
      </c>
      <c r="D91">
        <v>4</v>
      </c>
      <c r="E91">
        <v>0</v>
      </c>
      <c r="F91" s="1">
        <v>42982</v>
      </c>
      <c r="G91" t="s">
        <v>26</v>
      </c>
    </row>
    <row r="92" spans="1:7" x14ac:dyDescent="0.3">
      <c r="A92" t="s">
        <v>22</v>
      </c>
      <c r="B92">
        <v>0</v>
      </c>
      <c r="C92">
        <v>0</v>
      </c>
      <c r="D92">
        <v>3</v>
      </c>
      <c r="E92">
        <v>0</v>
      </c>
      <c r="F92" s="1">
        <v>42981</v>
      </c>
      <c r="G92" t="s">
        <v>25</v>
      </c>
    </row>
    <row r="93" spans="1:7" x14ac:dyDescent="0.3">
      <c r="A93" t="s">
        <v>22</v>
      </c>
      <c r="B93">
        <v>0</v>
      </c>
      <c r="C93">
        <v>0</v>
      </c>
      <c r="D93">
        <v>3</v>
      </c>
      <c r="E93">
        <v>0</v>
      </c>
      <c r="F93" s="1">
        <v>42924</v>
      </c>
      <c r="G93" t="s">
        <v>24</v>
      </c>
    </row>
    <row r="94" spans="1:7" x14ac:dyDescent="0.3">
      <c r="A94" t="s">
        <v>22</v>
      </c>
      <c r="B94">
        <v>0</v>
      </c>
      <c r="C94">
        <v>0</v>
      </c>
      <c r="D94">
        <v>12</v>
      </c>
      <c r="E94">
        <v>0</v>
      </c>
      <c r="F94" s="1">
        <v>43156</v>
      </c>
      <c r="G94" t="s">
        <v>2</v>
      </c>
    </row>
    <row r="95" spans="1:7" x14ac:dyDescent="0.3">
      <c r="A95" t="s">
        <v>22</v>
      </c>
      <c r="B95">
        <v>0</v>
      </c>
      <c r="C95">
        <v>0</v>
      </c>
      <c r="D95">
        <v>3</v>
      </c>
      <c r="E95">
        <v>1</v>
      </c>
      <c r="F95" s="1">
        <v>43245</v>
      </c>
      <c r="G95" t="s">
        <v>24</v>
      </c>
    </row>
    <row r="96" spans="1:7" x14ac:dyDescent="0.3">
      <c r="A96" t="s">
        <v>22</v>
      </c>
      <c r="B96">
        <v>0</v>
      </c>
      <c r="C96">
        <v>0</v>
      </c>
      <c r="D96">
        <v>14</v>
      </c>
      <c r="E96">
        <v>0</v>
      </c>
      <c r="F96" s="1">
        <v>43245</v>
      </c>
      <c r="G96" t="s">
        <v>25</v>
      </c>
    </row>
    <row r="97" spans="1:7" x14ac:dyDescent="0.3">
      <c r="A97" t="s">
        <v>22</v>
      </c>
      <c r="B97">
        <v>1</v>
      </c>
      <c r="C97">
        <v>0</v>
      </c>
      <c r="D97">
        <v>21</v>
      </c>
      <c r="E97">
        <v>0</v>
      </c>
      <c r="F97" s="1">
        <v>43245</v>
      </c>
      <c r="G97" t="s">
        <v>26</v>
      </c>
    </row>
    <row r="98" spans="1:7" x14ac:dyDescent="0.3">
      <c r="A98" t="s">
        <v>23</v>
      </c>
      <c r="B98">
        <v>0</v>
      </c>
      <c r="C98">
        <v>0</v>
      </c>
      <c r="D98">
        <v>4</v>
      </c>
      <c r="E98">
        <v>0</v>
      </c>
      <c r="F98" s="1">
        <v>42401</v>
      </c>
      <c r="G98" t="s">
        <v>2</v>
      </c>
    </row>
    <row r="99" spans="1:7" x14ac:dyDescent="0.3">
      <c r="A99" t="s">
        <v>23</v>
      </c>
      <c r="B99">
        <v>0</v>
      </c>
      <c r="C99">
        <v>0</v>
      </c>
      <c r="D99">
        <v>5</v>
      </c>
      <c r="E99">
        <v>0</v>
      </c>
      <c r="F99" s="1">
        <v>42511</v>
      </c>
      <c r="G99" t="s">
        <v>24</v>
      </c>
    </row>
    <row r="100" spans="1:7" x14ac:dyDescent="0.3">
      <c r="A100" t="s">
        <v>23</v>
      </c>
      <c r="B100">
        <v>0</v>
      </c>
      <c r="C100">
        <v>0</v>
      </c>
      <c r="D100">
        <v>3</v>
      </c>
      <c r="E100">
        <v>0</v>
      </c>
      <c r="F100" s="1">
        <v>42558</v>
      </c>
      <c r="G100" t="s">
        <v>25</v>
      </c>
    </row>
    <row r="101" spans="1:7" x14ac:dyDescent="0.3">
      <c r="A101" t="s">
        <v>23</v>
      </c>
      <c r="B101">
        <v>0</v>
      </c>
      <c r="C101">
        <v>0</v>
      </c>
      <c r="D101">
        <v>5</v>
      </c>
      <c r="E101">
        <v>0</v>
      </c>
      <c r="F101" s="1">
        <v>42622</v>
      </c>
      <c r="G101" t="s">
        <v>26</v>
      </c>
    </row>
    <row r="102" spans="1:7" x14ac:dyDescent="0.3">
      <c r="A102" t="s">
        <v>23</v>
      </c>
      <c r="B102">
        <v>0</v>
      </c>
      <c r="C102">
        <v>0</v>
      </c>
      <c r="D102">
        <v>1</v>
      </c>
      <c r="E102">
        <v>0</v>
      </c>
      <c r="F102" s="1">
        <v>42982</v>
      </c>
      <c r="G102" t="s">
        <v>25</v>
      </c>
    </row>
    <row r="103" spans="1:7" x14ac:dyDescent="0.3">
      <c r="A103" t="s">
        <v>23</v>
      </c>
      <c r="B103">
        <v>1</v>
      </c>
      <c r="C103">
        <v>0</v>
      </c>
      <c r="D103">
        <v>2</v>
      </c>
      <c r="E103">
        <v>0</v>
      </c>
      <c r="F103" s="1">
        <v>42924</v>
      </c>
      <c r="G103" t="s">
        <v>24</v>
      </c>
    </row>
    <row r="104" spans="1:7" x14ac:dyDescent="0.3">
      <c r="A104" t="s">
        <v>23</v>
      </c>
      <c r="B104">
        <v>0</v>
      </c>
      <c r="C104">
        <v>0</v>
      </c>
      <c r="D104">
        <v>1</v>
      </c>
      <c r="E104">
        <v>0</v>
      </c>
      <c r="F104" s="1">
        <v>43157</v>
      </c>
      <c r="G104" t="s">
        <v>2</v>
      </c>
    </row>
    <row r="105" spans="1:7" x14ac:dyDescent="0.3">
      <c r="A105" t="s">
        <v>23</v>
      </c>
      <c r="B105">
        <v>0</v>
      </c>
      <c r="C105">
        <v>0</v>
      </c>
      <c r="D105">
        <v>1</v>
      </c>
      <c r="E105">
        <v>0</v>
      </c>
      <c r="F105" s="1">
        <v>43246</v>
      </c>
      <c r="G105" t="s">
        <v>24</v>
      </c>
    </row>
    <row r="106" spans="1:7" x14ac:dyDescent="0.3">
      <c r="A106" t="s">
        <v>12</v>
      </c>
      <c r="B106">
        <v>256</v>
      </c>
      <c r="C106">
        <v>32</v>
      </c>
      <c r="D106">
        <v>2305</v>
      </c>
      <c r="E106">
        <v>31</v>
      </c>
      <c r="F106" s="1">
        <v>42401</v>
      </c>
      <c r="G106" t="s">
        <v>2</v>
      </c>
    </row>
    <row r="107" spans="1:7" x14ac:dyDescent="0.3">
      <c r="A107" t="s">
        <v>12</v>
      </c>
      <c r="B107">
        <v>208</v>
      </c>
      <c r="C107">
        <v>25</v>
      </c>
      <c r="D107">
        <v>2234</v>
      </c>
      <c r="E107">
        <v>14</v>
      </c>
      <c r="F107" s="1">
        <v>42511</v>
      </c>
      <c r="G107" t="s">
        <v>24</v>
      </c>
    </row>
    <row r="108" spans="1:7" x14ac:dyDescent="0.3">
      <c r="A108" t="s">
        <v>12</v>
      </c>
      <c r="B108">
        <v>170</v>
      </c>
      <c r="C108">
        <v>26</v>
      </c>
      <c r="D108">
        <v>1977</v>
      </c>
      <c r="E108">
        <v>30</v>
      </c>
      <c r="F108" s="1">
        <v>42558</v>
      </c>
      <c r="G108" t="s">
        <v>25</v>
      </c>
    </row>
    <row r="109" spans="1:7" x14ac:dyDescent="0.3">
      <c r="A109" t="s">
        <v>12</v>
      </c>
      <c r="B109">
        <v>217</v>
      </c>
      <c r="C109">
        <v>36</v>
      </c>
      <c r="D109">
        <v>2160</v>
      </c>
      <c r="E109">
        <v>33</v>
      </c>
      <c r="F109" s="1">
        <v>42622</v>
      </c>
      <c r="G109" t="s">
        <v>26</v>
      </c>
    </row>
    <row r="110" spans="1:7" x14ac:dyDescent="0.3">
      <c r="A110" t="s">
        <v>12</v>
      </c>
      <c r="B110">
        <v>222</v>
      </c>
      <c r="C110">
        <v>43</v>
      </c>
      <c r="D110">
        <v>2152</v>
      </c>
      <c r="E110">
        <v>19</v>
      </c>
      <c r="F110" s="1">
        <v>42791</v>
      </c>
      <c r="G110" t="s">
        <v>2</v>
      </c>
    </row>
    <row r="111" spans="1:7" x14ac:dyDescent="0.3">
      <c r="A111" t="s">
        <v>12</v>
      </c>
      <c r="B111">
        <v>147</v>
      </c>
      <c r="C111">
        <v>26</v>
      </c>
      <c r="D111">
        <v>1705</v>
      </c>
      <c r="E111">
        <v>33</v>
      </c>
      <c r="F111" s="1">
        <v>42972</v>
      </c>
      <c r="G111" t="s">
        <v>25</v>
      </c>
    </row>
    <row r="112" spans="1:7" x14ac:dyDescent="0.3">
      <c r="A112" t="s">
        <v>12</v>
      </c>
      <c r="B112">
        <v>144</v>
      </c>
      <c r="C112">
        <v>14</v>
      </c>
      <c r="D112">
        <v>1589</v>
      </c>
      <c r="E112">
        <v>22</v>
      </c>
      <c r="F112" s="1">
        <v>42924</v>
      </c>
      <c r="G112" t="s">
        <v>24</v>
      </c>
    </row>
    <row r="113" spans="1:7" x14ac:dyDescent="0.3">
      <c r="A113" t="s">
        <v>12</v>
      </c>
      <c r="B113">
        <v>138</v>
      </c>
      <c r="C113">
        <v>33</v>
      </c>
      <c r="D113">
        <v>1778</v>
      </c>
      <c r="E113">
        <v>26</v>
      </c>
      <c r="F113" s="1">
        <v>42972</v>
      </c>
      <c r="G113" t="s">
        <v>26</v>
      </c>
    </row>
    <row r="114" spans="1:7" x14ac:dyDescent="0.3">
      <c r="A114" t="s">
        <v>12</v>
      </c>
      <c r="B114">
        <v>169</v>
      </c>
      <c r="C114">
        <v>28</v>
      </c>
      <c r="D114">
        <v>1843</v>
      </c>
      <c r="E114">
        <v>28</v>
      </c>
      <c r="F114" s="1">
        <v>43146</v>
      </c>
      <c r="G114" t="s">
        <v>2</v>
      </c>
    </row>
    <row r="115" spans="1:7" x14ac:dyDescent="0.3">
      <c r="A115" t="s">
        <v>12</v>
      </c>
      <c r="B115">
        <v>138</v>
      </c>
      <c r="C115">
        <v>42</v>
      </c>
      <c r="D115">
        <v>1519</v>
      </c>
      <c r="E115">
        <v>12</v>
      </c>
      <c r="F115" s="1">
        <v>43235</v>
      </c>
      <c r="G115" t="s">
        <v>24</v>
      </c>
    </row>
    <row r="116" spans="1:7" x14ac:dyDescent="0.3">
      <c r="A116" t="s">
        <v>12</v>
      </c>
      <c r="B116">
        <v>156</v>
      </c>
      <c r="C116">
        <v>27</v>
      </c>
      <c r="D116">
        <v>1512</v>
      </c>
      <c r="E116">
        <v>15</v>
      </c>
      <c r="F116" s="1">
        <v>43235</v>
      </c>
      <c r="G116" t="s">
        <v>25</v>
      </c>
    </row>
    <row r="117" spans="1:7" x14ac:dyDescent="0.3">
      <c r="A117" t="s">
        <v>12</v>
      </c>
      <c r="B117">
        <v>129</v>
      </c>
      <c r="C117">
        <v>18</v>
      </c>
      <c r="D117">
        <v>1412</v>
      </c>
      <c r="E117">
        <v>14</v>
      </c>
      <c r="F117" s="1">
        <v>43235</v>
      </c>
      <c r="G117" t="s">
        <v>26</v>
      </c>
    </row>
    <row r="118" spans="1:7" x14ac:dyDescent="0.3">
      <c r="A118" t="s">
        <v>16</v>
      </c>
      <c r="B118">
        <v>2</v>
      </c>
      <c r="C118">
        <v>1</v>
      </c>
      <c r="D118">
        <v>49</v>
      </c>
      <c r="E118">
        <v>0</v>
      </c>
      <c r="F118" s="1">
        <v>42401</v>
      </c>
      <c r="G118" t="s">
        <v>2</v>
      </c>
    </row>
    <row r="119" spans="1:7" x14ac:dyDescent="0.3">
      <c r="A119" t="s">
        <v>16</v>
      </c>
      <c r="B119">
        <v>0</v>
      </c>
      <c r="C119">
        <v>0</v>
      </c>
      <c r="D119">
        <v>95</v>
      </c>
      <c r="E119">
        <v>0</v>
      </c>
      <c r="F119" s="1">
        <v>42511</v>
      </c>
      <c r="G119" t="s">
        <v>24</v>
      </c>
    </row>
    <row r="120" spans="1:7" x14ac:dyDescent="0.3">
      <c r="A120" t="s">
        <v>16</v>
      </c>
      <c r="B120">
        <v>1</v>
      </c>
      <c r="C120">
        <v>0</v>
      </c>
      <c r="D120">
        <v>50</v>
      </c>
      <c r="E120">
        <v>1</v>
      </c>
      <c r="F120" s="1">
        <v>42558</v>
      </c>
      <c r="G120" t="s">
        <v>25</v>
      </c>
    </row>
    <row r="121" spans="1:7" x14ac:dyDescent="0.3">
      <c r="A121" t="s">
        <v>16</v>
      </c>
      <c r="B121">
        <v>0</v>
      </c>
      <c r="C121">
        <v>0</v>
      </c>
      <c r="D121">
        <v>54</v>
      </c>
      <c r="E121">
        <v>0</v>
      </c>
      <c r="F121" s="1">
        <v>42622</v>
      </c>
      <c r="G121" t="s">
        <v>26</v>
      </c>
    </row>
    <row r="122" spans="1:7" x14ac:dyDescent="0.3">
      <c r="A122" t="s">
        <v>16</v>
      </c>
      <c r="B122">
        <v>2</v>
      </c>
      <c r="C122">
        <v>0</v>
      </c>
      <c r="D122">
        <v>68</v>
      </c>
      <c r="E122">
        <v>0</v>
      </c>
      <c r="F122" s="1">
        <v>42795</v>
      </c>
      <c r="G122" t="s">
        <v>2</v>
      </c>
    </row>
    <row r="123" spans="1:7" x14ac:dyDescent="0.3">
      <c r="A123" t="s">
        <v>16</v>
      </c>
      <c r="B123">
        <v>0</v>
      </c>
      <c r="C123">
        <v>0</v>
      </c>
      <c r="D123">
        <v>3</v>
      </c>
      <c r="E123">
        <v>0</v>
      </c>
      <c r="F123" s="1">
        <v>42924</v>
      </c>
      <c r="G123" t="s">
        <v>24</v>
      </c>
    </row>
    <row r="124" spans="1:7" x14ac:dyDescent="0.3">
      <c r="A124" t="s">
        <v>16</v>
      </c>
      <c r="B124">
        <v>0</v>
      </c>
      <c r="C124">
        <v>0</v>
      </c>
      <c r="D124">
        <v>21</v>
      </c>
      <c r="E124">
        <v>1</v>
      </c>
      <c r="F124" s="1">
        <v>42976</v>
      </c>
      <c r="G124" t="s">
        <v>26</v>
      </c>
    </row>
    <row r="125" spans="1:7" x14ac:dyDescent="0.3">
      <c r="A125" t="s">
        <v>16</v>
      </c>
      <c r="B125">
        <v>0</v>
      </c>
      <c r="C125">
        <v>0</v>
      </c>
      <c r="D125">
        <v>15</v>
      </c>
      <c r="E125">
        <v>0</v>
      </c>
      <c r="F125" s="1">
        <v>42976</v>
      </c>
      <c r="G125" t="s">
        <v>25</v>
      </c>
    </row>
    <row r="126" spans="1:7" x14ac:dyDescent="0.3">
      <c r="A126" t="s">
        <v>16</v>
      </c>
      <c r="B126">
        <v>0</v>
      </c>
      <c r="C126">
        <v>0</v>
      </c>
      <c r="D126">
        <v>34</v>
      </c>
      <c r="E126">
        <v>0</v>
      </c>
      <c r="F126" s="1">
        <v>43150</v>
      </c>
      <c r="G126" t="s">
        <v>2</v>
      </c>
    </row>
    <row r="127" spans="1:7" x14ac:dyDescent="0.3">
      <c r="A127" t="s">
        <v>16</v>
      </c>
      <c r="B127">
        <v>1</v>
      </c>
      <c r="C127">
        <v>0</v>
      </c>
      <c r="D127">
        <v>16</v>
      </c>
      <c r="E127">
        <v>1</v>
      </c>
      <c r="F127" s="1">
        <v>43239</v>
      </c>
      <c r="G127" t="s">
        <v>24</v>
      </c>
    </row>
    <row r="128" spans="1:7" x14ac:dyDescent="0.3">
      <c r="A128" t="s">
        <v>16</v>
      </c>
      <c r="B128">
        <v>0</v>
      </c>
      <c r="C128">
        <v>0</v>
      </c>
      <c r="D128">
        <v>8</v>
      </c>
      <c r="E128">
        <v>0</v>
      </c>
      <c r="F128" s="1">
        <v>43239</v>
      </c>
      <c r="G128" t="s">
        <v>25</v>
      </c>
    </row>
    <row r="129" spans="1:7" x14ac:dyDescent="0.3">
      <c r="A129" t="s">
        <v>16</v>
      </c>
      <c r="B129">
        <v>0</v>
      </c>
      <c r="C129">
        <v>0</v>
      </c>
      <c r="D129">
        <v>38</v>
      </c>
      <c r="E129">
        <v>0</v>
      </c>
      <c r="F129" s="1">
        <v>43239</v>
      </c>
      <c r="G129" t="s">
        <v>26</v>
      </c>
    </row>
    <row r="130" spans="1:7" x14ac:dyDescent="0.3">
      <c r="A130" t="s">
        <v>4</v>
      </c>
      <c r="B130">
        <v>2</v>
      </c>
      <c r="C130">
        <v>0</v>
      </c>
      <c r="D130">
        <v>35</v>
      </c>
      <c r="E130">
        <v>0</v>
      </c>
      <c r="F130" s="1">
        <v>42401</v>
      </c>
      <c r="G130" t="s">
        <v>2</v>
      </c>
    </row>
    <row r="131" spans="1:7" x14ac:dyDescent="0.3">
      <c r="A131" t="s">
        <v>4</v>
      </c>
      <c r="B131">
        <v>1</v>
      </c>
      <c r="C131">
        <v>0</v>
      </c>
      <c r="D131">
        <v>17</v>
      </c>
      <c r="E131">
        <v>0</v>
      </c>
      <c r="F131" s="1">
        <v>42511</v>
      </c>
      <c r="G131" t="s">
        <v>24</v>
      </c>
    </row>
    <row r="132" spans="1:7" x14ac:dyDescent="0.3">
      <c r="A132" t="s">
        <v>4</v>
      </c>
      <c r="B132">
        <v>1</v>
      </c>
      <c r="C132">
        <v>0</v>
      </c>
      <c r="D132">
        <v>9</v>
      </c>
      <c r="E132">
        <v>0</v>
      </c>
      <c r="F132" s="1">
        <v>42558</v>
      </c>
      <c r="G132" t="s">
        <v>25</v>
      </c>
    </row>
    <row r="133" spans="1:7" x14ac:dyDescent="0.3">
      <c r="A133" t="s">
        <v>4</v>
      </c>
      <c r="B133">
        <v>3</v>
      </c>
      <c r="C133">
        <v>0</v>
      </c>
      <c r="D133">
        <v>12</v>
      </c>
      <c r="E133">
        <v>0</v>
      </c>
      <c r="F133" s="1">
        <v>42622</v>
      </c>
      <c r="G133" t="s">
        <v>26</v>
      </c>
    </row>
    <row r="134" spans="1:7" x14ac:dyDescent="0.3">
      <c r="A134" t="s">
        <v>4</v>
      </c>
      <c r="B134">
        <v>3</v>
      </c>
      <c r="C134">
        <v>1</v>
      </c>
      <c r="D134">
        <v>31</v>
      </c>
      <c r="E134">
        <v>1</v>
      </c>
      <c r="F134" s="1">
        <v>42783</v>
      </c>
      <c r="G134" t="s">
        <v>2</v>
      </c>
    </row>
    <row r="135" spans="1:7" x14ac:dyDescent="0.3">
      <c r="A135" t="s">
        <v>4</v>
      </c>
      <c r="B135">
        <v>1</v>
      </c>
      <c r="C135">
        <v>0</v>
      </c>
      <c r="D135">
        <v>36</v>
      </c>
      <c r="E135">
        <v>0</v>
      </c>
      <c r="F135" s="1">
        <v>42964</v>
      </c>
      <c r="G135" t="s">
        <v>26</v>
      </c>
    </row>
    <row r="136" spans="1:7" x14ac:dyDescent="0.3">
      <c r="A136" t="s">
        <v>4</v>
      </c>
      <c r="B136">
        <v>0</v>
      </c>
      <c r="C136">
        <v>0</v>
      </c>
      <c r="D136">
        <v>16</v>
      </c>
      <c r="E136">
        <v>0</v>
      </c>
      <c r="F136" s="1">
        <v>42964</v>
      </c>
      <c r="G136" t="s">
        <v>25</v>
      </c>
    </row>
    <row r="137" spans="1:7" x14ac:dyDescent="0.3">
      <c r="A137" t="s">
        <v>4</v>
      </c>
      <c r="B137">
        <v>2</v>
      </c>
      <c r="C137">
        <v>0</v>
      </c>
      <c r="D137">
        <v>30</v>
      </c>
      <c r="E137">
        <v>0</v>
      </c>
      <c r="F137" s="1">
        <v>42924</v>
      </c>
      <c r="G137" t="s">
        <v>24</v>
      </c>
    </row>
    <row r="138" spans="1:7" x14ac:dyDescent="0.3">
      <c r="A138" t="s">
        <v>4</v>
      </c>
      <c r="B138">
        <v>2</v>
      </c>
      <c r="C138">
        <v>0</v>
      </c>
      <c r="D138">
        <v>45</v>
      </c>
      <c r="E138">
        <v>0</v>
      </c>
      <c r="F138" s="1">
        <v>43138</v>
      </c>
      <c r="G138" t="s">
        <v>2</v>
      </c>
    </row>
    <row r="139" spans="1:7" x14ac:dyDescent="0.3">
      <c r="A139" t="s">
        <v>4</v>
      </c>
      <c r="B139">
        <v>1</v>
      </c>
      <c r="C139">
        <v>1</v>
      </c>
      <c r="D139">
        <v>31</v>
      </c>
      <c r="E139">
        <v>0</v>
      </c>
      <c r="F139" s="1">
        <v>43227</v>
      </c>
      <c r="G139" t="s">
        <v>24</v>
      </c>
    </row>
    <row r="140" spans="1:7" x14ac:dyDescent="0.3">
      <c r="A140" t="s">
        <v>4</v>
      </c>
      <c r="B140">
        <v>3</v>
      </c>
      <c r="C140">
        <v>2</v>
      </c>
      <c r="D140">
        <v>19</v>
      </c>
      <c r="E140">
        <v>0</v>
      </c>
      <c r="F140" s="1">
        <v>43227</v>
      </c>
      <c r="G140" t="s">
        <v>25</v>
      </c>
    </row>
    <row r="141" spans="1:7" x14ac:dyDescent="0.3">
      <c r="A141" t="s">
        <v>4</v>
      </c>
      <c r="B141">
        <v>0</v>
      </c>
      <c r="C141">
        <v>0</v>
      </c>
      <c r="D141">
        <v>23</v>
      </c>
      <c r="E141">
        <v>0</v>
      </c>
      <c r="F141" s="1">
        <v>43227</v>
      </c>
      <c r="G141" t="s">
        <v>26</v>
      </c>
    </row>
    <row r="142" spans="1:7" x14ac:dyDescent="0.3">
      <c r="A142" t="s">
        <v>19</v>
      </c>
      <c r="B142">
        <v>7</v>
      </c>
      <c r="C142">
        <v>0</v>
      </c>
      <c r="D142">
        <v>227</v>
      </c>
      <c r="E142">
        <v>0</v>
      </c>
      <c r="F142" s="1">
        <v>42401</v>
      </c>
      <c r="G142" t="s">
        <v>2</v>
      </c>
    </row>
    <row r="143" spans="1:7" x14ac:dyDescent="0.3">
      <c r="A143" t="s">
        <v>19</v>
      </c>
      <c r="B143">
        <v>5</v>
      </c>
      <c r="C143">
        <v>0</v>
      </c>
      <c r="D143">
        <v>158</v>
      </c>
      <c r="E143">
        <v>1</v>
      </c>
      <c r="F143" s="1">
        <v>42511</v>
      </c>
      <c r="G143" t="s">
        <v>24</v>
      </c>
    </row>
    <row r="144" spans="1:7" x14ac:dyDescent="0.3">
      <c r="A144" t="s">
        <v>19</v>
      </c>
      <c r="B144">
        <v>10</v>
      </c>
      <c r="C144">
        <v>0</v>
      </c>
      <c r="D144">
        <v>115</v>
      </c>
      <c r="E144">
        <v>0</v>
      </c>
      <c r="F144" s="1">
        <v>42558</v>
      </c>
      <c r="G144" t="s">
        <v>25</v>
      </c>
    </row>
    <row r="145" spans="1:7" x14ac:dyDescent="0.3">
      <c r="A145" t="s">
        <v>19</v>
      </c>
      <c r="B145">
        <v>8</v>
      </c>
      <c r="C145">
        <v>0</v>
      </c>
      <c r="D145">
        <v>234</v>
      </c>
      <c r="E145">
        <v>1</v>
      </c>
      <c r="F145" s="1">
        <v>42622</v>
      </c>
      <c r="G145" t="s">
        <v>26</v>
      </c>
    </row>
    <row r="146" spans="1:7" x14ac:dyDescent="0.3">
      <c r="A146" t="s">
        <v>19</v>
      </c>
      <c r="B146">
        <v>14</v>
      </c>
      <c r="C146">
        <v>0</v>
      </c>
      <c r="D146">
        <v>248</v>
      </c>
      <c r="E146">
        <v>0</v>
      </c>
      <c r="F146" s="1">
        <v>42798</v>
      </c>
      <c r="G146" t="s">
        <v>2</v>
      </c>
    </row>
    <row r="147" spans="1:7" x14ac:dyDescent="0.3">
      <c r="A147" t="s">
        <v>19</v>
      </c>
      <c r="B147">
        <v>1</v>
      </c>
      <c r="C147">
        <v>0</v>
      </c>
      <c r="D147">
        <v>165</v>
      </c>
      <c r="E147">
        <v>0</v>
      </c>
      <c r="F147" s="1">
        <v>42978</v>
      </c>
      <c r="G147" t="s">
        <v>25</v>
      </c>
    </row>
    <row r="148" spans="1:7" x14ac:dyDescent="0.3">
      <c r="A148" t="s">
        <v>19</v>
      </c>
      <c r="B148">
        <v>2</v>
      </c>
      <c r="C148">
        <v>0</v>
      </c>
      <c r="D148">
        <v>160</v>
      </c>
      <c r="E148">
        <v>1</v>
      </c>
      <c r="F148" s="1">
        <v>42924</v>
      </c>
      <c r="G148" t="s">
        <v>24</v>
      </c>
    </row>
    <row r="149" spans="1:7" x14ac:dyDescent="0.3">
      <c r="A149" t="s">
        <v>19</v>
      </c>
      <c r="B149">
        <v>7</v>
      </c>
      <c r="C149">
        <v>0</v>
      </c>
      <c r="D149">
        <v>227</v>
      </c>
      <c r="E149">
        <v>0</v>
      </c>
      <c r="F149" s="1">
        <v>42979</v>
      </c>
      <c r="G149" t="s">
        <v>26</v>
      </c>
    </row>
    <row r="150" spans="1:7" x14ac:dyDescent="0.3">
      <c r="A150" t="s">
        <v>19</v>
      </c>
      <c r="B150">
        <v>5</v>
      </c>
      <c r="C150">
        <v>0</v>
      </c>
      <c r="D150">
        <v>215</v>
      </c>
      <c r="E150">
        <v>0</v>
      </c>
      <c r="F150" s="1">
        <v>43153</v>
      </c>
      <c r="G150" t="s">
        <v>2</v>
      </c>
    </row>
    <row r="151" spans="1:7" x14ac:dyDescent="0.3">
      <c r="A151" t="s">
        <v>19</v>
      </c>
      <c r="B151">
        <v>1</v>
      </c>
      <c r="C151">
        <v>0</v>
      </c>
      <c r="D151">
        <v>207</v>
      </c>
      <c r="E151">
        <v>0</v>
      </c>
      <c r="F151" s="1">
        <v>43242</v>
      </c>
      <c r="G151" t="s">
        <v>24</v>
      </c>
    </row>
    <row r="152" spans="1:7" x14ac:dyDescent="0.3">
      <c r="A152" t="s">
        <v>19</v>
      </c>
      <c r="B152">
        <v>3</v>
      </c>
      <c r="C152">
        <v>0</v>
      </c>
      <c r="D152">
        <v>140</v>
      </c>
      <c r="E152">
        <v>0</v>
      </c>
      <c r="F152" s="1">
        <v>43242</v>
      </c>
      <c r="G152" t="s">
        <v>25</v>
      </c>
    </row>
    <row r="153" spans="1:7" x14ac:dyDescent="0.3">
      <c r="A153" t="s">
        <v>19</v>
      </c>
      <c r="B153">
        <v>4</v>
      </c>
      <c r="C153">
        <v>0</v>
      </c>
      <c r="D153">
        <v>102</v>
      </c>
      <c r="E153">
        <v>0</v>
      </c>
      <c r="F153" s="1">
        <v>43242</v>
      </c>
      <c r="G153" t="s">
        <v>26</v>
      </c>
    </row>
    <row r="154" spans="1:7" x14ac:dyDescent="0.3">
      <c r="A154" t="s">
        <v>15</v>
      </c>
      <c r="B154">
        <v>30</v>
      </c>
      <c r="C154">
        <v>3</v>
      </c>
      <c r="D154">
        <v>503</v>
      </c>
      <c r="E154">
        <v>2</v>
      </c>
      <c r="F154" s="1">
        <v>42401</v>
      </c>
      <c r="G154" t="s">
        <v>2</v>
      </c>
    </row>
    <row r="155" spans="1:7" x14ac:dyDescent="0.3">
      <c r="A155" t="s">
        <v>15</v>
      </c>
      <c r="B155">
        <v>29</v>
      </c>
      <c r="C155">
        <v>2</v>
      </c>
      <c r="D155">
        <v>590</v>
      </c>
      <c r="E155">
        <v>4</v>
      </c>
      <c r="F155" s="1">
        <v>42511</v>
      </c>
      <c r="G155" t="s">
        <v>24</v>
      </c>
    </row>
    <row r="156" spans="1:7" x14ac:dyDescent="0.3">
      <c r="A156" t="s">
        <v>15</v>
      </c>
      <c r="B156">
        <v>15</v>
      </c>
      <c r="C156">
        <v>3</v>
      </c>
      <c r="D156">
        <v>479</v>
      </c>
      <c r="E156">
        <v>8</v>
      </c>
      <c r="F156" s="1">
        <v>42558</v>
      </c>
      <c r="G156" t="s">
        <v>25</v>
      </c>
    </row>
    <row r="157" spans="1:7" x14ac:dyDescent="0.3">
      <c r="A157" t="s">
        <v>15</v>
      </c>
      <c r="B157">
        <v>19</v>
      </c>
      <c r="C157">
        <v>2</v>
      </c>
      <c r="D157">
        <v>460</v>
      </c>
      <c r="E157">
        <v>1</v>
      </c>
      <c r="F157" s="1">
        <v>42622</v>
      </c>
      <c r="G157" t="s">
        <v>26</v>
      </c>
    </row>
    <row r="158" spans="1:7" x14ac:dyDescent="0.3">
      <c r="A158" t="s">
        <v>15</v>
      </c>
      <c r="B158">
        <v>24</v>
      </c>
      <c r="C158">
        <v>1</v>
      </c>
      <c r="D158">
        <v>466</v>
      </c>
      <c r="E158">
        <v>4</v>
      </c>
      <c r="F158" s="1">
        <v>42794</v>
      </c>
      <c r="G158" t="s">
        <v>2</v>
      </c>
    </row>
    <row r="159" spans="1:7" x14ac:dyDescent="0.3">
      <c r="A159" t="s">
        <v>15</v>
      </c>
      <c r="B159">
        <v>15</v>
      </c>
      <c r="C159">
        <v>1</v>
      </c>
      <c r="D159">
        <v>298</v>
      </c>
      <c r="E159">
        <v>1</v>
      </c>
      <c r="F159" s="1">
        <v>42924</v>
      </c>
      <c r="G159" t="s">
        <v>24</v>
      </c>
    </row>
    <row r="160" spans="1:7" x14ac:dyDescent="0.3">
      <c r="A160" t="s">
        <v>15</v>
      </c>
      <c r="B160">
        <v>25</v>
      </c>
      <c r="C160">
        <v>1</v>
      </c>
      <c r="D160">
        <v>394</v>
      </c>
      <c r="E160">
        <v>4</v>
      </c>
      <c r="F160" s="1">
        <v>42975</v>
      </c>
      <c r="G160" t="s">
        <v>26</v>
      </c>
    </row>
    <row r="161" spans="1:7" x14ac:dyDescent="0.3">
      <c r="A161" t="s">
        <v>15</v>
      </c>
      <c r="B161">
        <v>17</v>
      </c>
      <c r="C161">
        <v>0</v>
      </c>
      <c r="D161">
        <v>252</v>
      </c>
      <c r="E161">
        <v>2</v>
      </c>
      <c r="F161" s="1">
        <v>42975</v>
      </c>
      <c r="G161" t="s">
        <v>25</v>
      </c>
    </row>
    <row r="162" spans="1:7" x14ac:dyDescent="0.3">
      <c r="A162" t="s">
        <v>15</v>
      </c>
      <c r="B162">
        <v>22</v>
      </c>
      <c r="C162">
        <v>1</v>
      </c>
      <c r="D162">
        <v>415</v>
      </c>
      <c r="E162">
        <v>2</v>
      </c>
      <c r="F162" s="1">
        <v>43149</v>
      </c>
      <c r="G162" t="s">
        <v>2</v>
      </c>
    </row>
    <row r="163" spans="1:7" x14ac:dyDescent="0.3">
      <c r="A163" t="s">
        <v>15</v>
      </c>
      <c r="B163">
        <v>21</v>
      </c>
      <c r="C163">
        <v>1</v>
      </c>
      <c r="D163">
        <v>368</v>
      </c>
      <c r="E163">
        <v>3</v>
      </c>
      <c r="F163" s="1">
        <v>43238</v>
      </c>
      <c r="G163" t="s">
        <v>24</v>
      </c>
    </row>
    <row r="164" spans="1:7" x14ac:dyDescent="0.3">
      <c r="A164" t="s">
        <v>15</v>
      </c>
      <c r="B164">
        <v>23</v>
      </c>
      <c r="C164">
        <v>1</v>
      </c>
      <c r="D164">
        <v>342</v>
      </c>
      <c r="E164">
        <v>6</v>
      </c>
      <c r="F164" s="1">
        <v>43238</v>
      </c>
      <c r="G164" t="s">
        <v>25</v>
      </c>
    </row>
    <row r="165" spans="1:7" x14ac:dyDescent="0.3">
      <c r="A165" t="s">
        <v>15</v>
      </c>
      <c r="B165">
        <v>20</v>
      </c>
      <c r="C165">
        <v>1</v>
      </c>
      <c r="D165">
        <v>295</v>
      </c>
      <c r="E165">
        <v>2</v>
      </c>
      <c r="F165" s="1">
        <v>43238</v>
      </c>
      <c r="G165" t="s">
        <v>26</v>
      </c>
    </row>
    <row r="166" spans="1:7" x14ac:dyDescent="0.3">
      <c r="A166" t="s">
        <v>8</v>
      </c>
      <c r="B166">
        <v>28</v>
      </c>
      <c r="C166">
        <v>3</v>
      </c>
      <c r="D166">
        <v>593</v>
      </c>
      <c r="E166">
        <v>1</v>
      </c>
      <c r="F166" s="1">
        <v>42401</v>
      </c>
      <c r="G166" t="s">
        <v>2</v>
      </c>
    </row>
    <row r="167" spans="1:7" x14ac:dyDescent="0.3">
      <c r="A167" t="s">
        <v>8</v>
      </c>
      <c r="B167">
        <v>11</v>
      </c>
      <c r="C167">
        <v>2</v>
      </c>
      <c r="D167">
        <v>549</v>
      </c>
      <c r="E167">
        <v>0</v>
      </c>
      <c r="F167" s="1">
        <v>42511</v>
      </c>
      <c r="G167" t="s">
        <v>24</v>
      </c>
    </row>
    <row r="168" spans="1:7" x14ac:dyDescent="0.3">
      <c r="A168" t="s">
        <v>8</v>
      </c>
      <c r="B168">
        <v>11</v>
      </c>
      <c r="C168">
        <v>2</v>
      </c>
      <c r="D168">
        <v>472</v>
      </c>
      <c r="E168">
        <v>4</v>
      </c>
      <c r="F168" s="1">
        <v>42558</v>
      </c>
      <c r="G168" t="s">
        <v>25</v>
      </c>
    </row>
    <row r="169" spans="1:7" x14ac:dyDescent="0.3">
      <c r="A169" t="s">
        <v>8</v>
      </c>
      <c r="B169">
        <v>8</v>
      </c>
      <c r="C169">
        <v>1</v>
      </c>
      <c r="D169">
        <v>505</v>
      </c>
      <c r="E169">
        <v>3</v>
      </c>
      <c r="F169" s="1">
        <v>42622</v>
      </c>
      <c r="G169" t="s">
        <v>26</v>
      </c>
    </row>
    <row r="170" spans="1:7" x14ac:dyDescent="0.3">
      <c r="A170" t="s">
        <v>8</v>
      </c>
      <c r="B170">
        <v>14</v>
      </c>
      <c r="C170">
        <v>2</v>
      </c>
      <c r="D170">
        <v>516</v>
      </c>
      <c r="E170">
        <v>3</v>
      </c>
      <c r="F170" s="1">
        <v>42787</v>
      </c>
      <c r="G170" t="s">
        <v>2</v>
      </c>
    </row>
    <row r="171" spans="1:7" x14ac:dyDescent="0.3">
      <c r="A171" t="s">
        <v>8</v>
      </c>
      <c r="B171">
        <v>18</v>
      </c>
      <c r="C171">
        <v>1</v>
      </c>
      <c r="D171">
        <v>558</v>
      </c>
      <c r="E171">
        <v>22</v>
      </c>
      <c r="F171" s="1">
        <v>42968</v>
      </c>
      <c r="G171" t="s">
        <v>26</v>
      </c>
    </row>
    <row r="172" spans="1:7" x14ac:dyDescent="0.3">
      <c r="A172" t="s">
        <v>8</v>
      </c>
      <c r="B172">
        <v>19</v>
      </c>
      <c r="C172">
        <v>2</v>
      </c>
      <c r="D172">
        <v>385</v>
      </c>
      <c r="E172">
        <v>9</v>
      </c>
      <c r="F172" s="1">
        <v>42968</v>
      </c>
      <c r="G172" t="s">
        <v>25</v>
      </c>
    </row>
    <row r="173" spans="1:7" x14ac:dyDescent="0.3">
      <c r="A173" t="s">
        <v>8</v>
      </c>
      <c r="B173">
        <v>4</v>
      </c>
      <c r="C173">
        <v>2</v>
      </c>
      <c r="D173">
        <v>389</v>
      </c>
      <c r="E173">
        <v>3</v>
      </c>
      <c r="F173" s="1">
        <v>42924</v>
      </c>
      <c r="G173" t="s">
        <v>24</v>
      </c>
    </row>
    <row r="174" spans="1:7" x14ac:dyDescent="0.3">
      <c r="A174" t="s">
        <v>8</v>
      </c>
      <c r="B174">
        <v>17</v>
      </c>
      <c r="C174">
        <v>3</v>
      </c>
      <c r="D174">
        <v>627</v>
      </c>
      <c r="E174">
        <v>26</v>
      </c>
      <c r="F174" s="1">
        <v>43142</v>
      </c>
      <c r="G174" t="s">
        <v>2</v>
      </c>
    </row>
    <row r="175" spans="1:7" x14ac:dyDescent="0.3">
      <c r="A175" t="s">
        <v>8</v>
      </c>
      <c r="B175">
        <v>16</v>
      </c>
      <c r="C175">
        <v>3</v>
      </c>
      <c r="D175">
        <v>474</v>
      </c>
      <c r="E175">
        <v>11</v>
      </c>
      <c r="F175" s="1">
        <v>43231</v>
      </c>
      <c r="G175" t="s">
        <v>24</v>
      </c>
    </row>
    <row r="176" spans="1:7" x14ac:dyDescent="0.3">
      <c r="A176" t="s">
        <v>8</v>
      </c>
      <c r="B176">
        <v>28</v>
      </c>
      <c r="C176">
        <v>7</v>
      </c>
      <c r="D176">
        <v>526</v>
      </c>
      <c r="E176">
        <v>5</v>
      </c>
      <c r="F176" s="1">
        <v>43231</v>
      </c>
      <c r="G176" t="s">
        <v>25</v>
      </c>
    </row>
    <row r="177" spans="1:7" x14ac:dyDescent="0.3">
      <c r="A177" t="s">
        <v>8</v>
      </c>
      <c r="B177">
        <v>18</v>
      </c>
      <c r="C177">
        <v>3</v>
      </c>
      <c r="D177">
        <v>485</v>
      </c>
      <c r="E177">
        <v>3</v>
      </c>
      <c r="F177" s="1">
        <v>43231</v>
      </c>
      <c r="G177" t="s">
        <v>26</v>
      </c>
    </row>
    <row r="178" spans="1:7" x14ac:dyDescent="0.3">
      <c r="A178" t="s">
        <v>7</v>
      </c>
      <c r="B178">
        <v>16</v>
      </c>
      <c r="C178">
        <v>1</v>
      </c>
      <c r="D178">
        <v>2591</v>
      </c>
      <c r="E178">
        <v>4</v>
      </c>
      <c r="F178" s="1">
        <v>42401</v>
      </c>
      <c r="G178" t="s">
        <v>2</v>
      </c>
    </row>
    <row r="179" spans="1:7" x14ac:dyDescent="0.3">
      <c r="A179" t="s">
        <v>7</v>
      </c>
      <c r="B179">
        <v>13</v>
      </c>
      <c r="C179">
        <v>1</v>
      </c>
      <c r="D179">
        <v>1904</v>
      </c>
      <c r="E179">
        <v>2</v>
      </c>
      <c r="F179" s="1">
        <v>42511</v>
      </c>
      <c r="G179" t="s">
        <v>24</v>
      </c>
    </row>
    <row r="180" spans="1:7" x14ac:dyDescent="0.3">
      <c r="A180" t="s">
        <v>7</v>
      </c>
      <c r="B180">
        <v>13</v>
      </c>
      <c r="C180">
        <v>1</v>
      </c>
      <c r="D180">
        <v>886</v>
      </c>
      <c r="E180">
        <v>1</v>
      </c>
      <c r="F180" s="1">
        <v>42558</v>
      </c>
      <c r="G180" t="s">
        <v>25</v>
      </c>
    </row>
    <row r="181" spans="1:7" x14ac:dyDescent="0.3">
      <c r="A181" t="s">
        <v>7</v>
      </c>
      <c r="B181">
        <v>16</v>
      </c>
      <c r="C181">
        <v>2</v>
      </c>
      <c r="D181">
        <v>812</v>
      </c>
      <c r="E181">
        <v>5</v>
      </c>
      <c r="F181" s="1">
        <v>42622</v>
      </c>
      <c r="G181" t="s">
        <v>26</v>
      </c>
    </row>
    <row r="182" spans="1:7" x14ac:dyDescent="0.3">
      <c r="A182" t="s">
        <v>7</v>
      </c>
      <c r="B182">
        <v>19</v>
      </c>
      <c r="C182">
        <v>2</v>
      </c>
      <c r="D182">
        <v>983</v>
      </c>
      <c r="E182">
        <v>0</v>
      </c>
      <c r="F182" s="1">
        <v>42786</v>
      </c>
      <c r="G182" t="s">
        <v>2</v>
      </c>
    </row>
    <row r="183" spans="1:7" x14ac:dyDescent="0.3">
      <c r="A183" t="s">
        <v>7</v>
      </c>
      <c r="B183">
        <v>10</v>
      </c>
      <c r="C183">
        <v>2</v>
      </c>
      <c r="D183">
        <v>631</v>
      </c>
      <c r="E183">
        <v>1</v>
      </c>
      <c r="F183" s="1">
        <v>42967</v>
      </c>
      <c r="G183" t="s">
        <v>25</v>
      </c>
    </row>
    <row r="184" spans="1:7" x14ac:dyDescent="0.3">
      <c r="A184" t="s">
        <v>7</v>
      </c>
      <c r="B184">
        <v>11</v>
      </c>
      <c r="C184">
        <v>1</v>
      </c>
      <c r="D184">
        <v>939</v>
      </c>
      <c r="E184">
        <v>2</v>
      </c>
      <c r="F184" s="1">
        <v>42924</v>
      </c>
      <c r="G184" t="s">
        <v>24</v>
      </c>
    </row>
    <row r="185" spans="1:7" x14ac:dyDescent="0.3">
      <c r="A185" t="s">
        <v>7</v>
      </c>
      <c r="B185">
        <v>18</v>
      </c>
      <c r="C185">
        <v>5</v>
      </c>
      <c r="D185">
        <v>729</v>
      </c>
      <c r="E185">
        <v>4</v>
      </c>
      <c r="F185" s="1">
        <v>42967</v>
      </c>
      <c r="G185" t="s">
        <v>26</v>
      </c>
    </row>
    <row r="186" spans="1:7" x14ac:dyDescent="0.3">
      <c r="A186" t="s">
        <v>7</v>
      </c>
      <c r="B186">
        <v>18</v>
      </c>
      <c r="C186">
        <v>0</v>
      </c>
      <c r="D186">
        <v>891</v>
      </c>
      <c r="E186">
        <v>1</v>
      </c>
      <c r="F186" s="1">
        <v>43141</v>
      </c>
      <c r="G186" t="s">
        <v>2</v>
      </c>
    </row>
    <row r="187" spans="1:7" x14ac:dyDescent="0.3">
      <c r="A187" t="s">
        <v>7</v>
      </c>
      <c r="B187">
        <v>16</v>
      </c>
      <c r="C187">
        <v>0</v>
      </c>
      <c r="D187">
        <v>771</v>
      </c>
      <c r="E187">
        <v>1</v>
      </c>
      <c r="F187" s="1">
        <v>43230</v>
      </c>
      <c r="G187" t="s">
        <v>24</v>
      </c>
    </row>
    <row r="188" spans="1:7" x14ac:dyDescent="0.3">
      <c r="A188" t="s">
        <v>7</v>
      </c>
      <c r="B188">
        <v>12</v>
      </c>
      <c r="C188">
        <v>3</v>
      </c>
      <c r="D188">
        <v>467</v>
      </c>
      <c r="E188">
        <v>1</v>
      </c>
      <c r="F188" s="1">
        <v>43230</v>
      </c>
      <c r="G188" t="s">
        <v>25</v>
      </c>
    </row>
    <row r="189" spans="1:7" x14ac:dyDescent="0.3">
      <c r="A189" t="s">
        <v>7</v>
      </c>
      <c r="B189">
        <v>18</v>
      </c>
      <c r="C189">
        <v>1</v>
      </c>
      <c r="D189">
        <v>504</v>
      </c>
      <c r="E189">
        <v>1</v>
      </c>
      <c r="F189" s="1">
        <v>43230</v>
      </c>
      <c r="G189" t="s">
        <v>26</v>
      </c>
    </row>
    <row r="190" spans="1:7" x14ac:dyDescent="0.3">
      <c r="A190" t="s">
        <v>6</v>
      </c>
      <c r="B190">
        <v>114</v>
      </c>
      <c r="C190">
        <v>31</v>
      </c>
      <c r="D190">
        <v>2845</v>
      </c>
      <c r="E190">
        <v>24</v>
      </c>
      <c r="F190" s="1">
        <v>42401</v>
      </c>
      <c r="G190" t="s">
        <v>2</v>
      </c>
    </row>
    <row r="191" spans="1:7" x14ac:dyDescent="0.3">
      <c r="A191" t="s">
        <v>6</v>
      </c>
      <c r="B191">
        <v>109</v>
      </c>
      <c r="C191">
        <v>25</v>
      </c>
      <c r="D191">
        <v>2331</v>
      </c>
      <c r="E191">
        <v>14</v>
      </c>
      <c r="F191" s="1">
        <v>42511</v>
      </c>
      <c r="G191" t="s">
        <v>24</v>
      </c>
    </row>
    <row r="192" spans="1:7" x14ac:dyDescent="0.3">
      <c r="A192" t="s">
        <v>6</v>
      </c>
      <c r="B192">
        <v>60</v>
      </c>
      <c r="C192">
        <v>18</v>
      </c>
      <c r="D192">
        <v>1724</v>
      </c>
      <c r="E192">
        <v>11</v>
      </c>
      <c r="F192" s="1">
        <v>42558</v>
      </c>
      <c r="G192" t="s">
        <v>25</v>
      </c>
    </row>
    <row r="193" spans="1:7" x14ac:dyDescent="0.3">
      <c r="A193" t="s">
        <v>6</v>
      </c>
      <c r="B193">
        <v>81</v>
      </c>
      <c r="C193">
        <v>30</v>
      </c>
      <c r="D193">
        <v>1975</v>
      </c>
      <c r="E193">
        <v>19</v>
      </c>
      <c r="F193" s="1">
        <v>42622</v>
      </c>
      <c r="G193" t="s">
        <v>26</v>
      </c>
    </row>
    <row r="194" spans="1:7" x14ac:dyDescent="0.3">
      <c r="A194" t="s">
        <v>6</v>
      </c>
      <c r="B194">
        <v>129</v>
      </c>
      <c r="C194">
        <v>35</v>
      </c>
      <c r="D194">
        <v>2056</v>
      </c>
      <c r="E194">
        <v>22</v>
      </c>
      <c r="F194" s="1">
        <v>42785</v>
      </c>
      <c r="G194" t="s">
        <v>2</v>
      </c>
    </row>
    <row r="195" spans="1:7" x14ac:dyDescent="0.3">
      <c r="A195" t="s">
        <v>6</v>
      </c>
      <c r="B195">
        <v>68</v>
      </c>
      <c r="C195">
        <v>23</v>
      </c>
      <c r="D195">
        <v>1327</v>
      </c>
      <c r="E195">
        <v>8</v>
      </c>
      <c r="F195" s="1">
        <v>42924</v>
      </c>
      <c r="G195" t="s">
        <v>24</v>
      </c>
    </row>
    <row r="196" spans="1:7" x14ac:dyDescent="0.3">
      <c r="A196" t="s">
        <v>6</v>
      </c>
      <c r="B196">
        <v>79</v>
      </c>
      <c r="C196">
        <v>27</v>
      </c>
      <c r="D196">
        <v>1788</v>
      </c>
      <c r="E196">
        <v>11</v>
      </c>
      <c r="F196" s="1">
        <v>42966</v>
      </c>
      <c r="G196" t="s">
        <v>26</v>
      </c>
    </row>
    <row r="197" spans="1:7" x14ac:dyDescent="0.3">
      <c r="A197" t="s">
        <v>6</v>
      </c>
      <c r="B197">
        <v>55</v>
      </c>
      <c r="C197">
        <v>14</v>
      </c>
      <c r="D197">
        <v>1560</v>
      </c>
      <c r="E197">
        <v>8</v>
      </c>
      <c r="F197" s="1">
        <v>42966</v>
      </c>
      <c r="G197" t="s">
        <v>25</v>
      </c>
    </row>
    <row r="198" spans="1:7" x14ac:dyDescent="0.3">
      <c r="A198" t="s">
        <v>6</v>
      </c>
      <c r="B198">
        <v>116</v>
      </c>
      <c r="C198">
        <v>37</v>
      </c>
      <c r="D198">
        <v>1668</v>
      </c>
      <c r="E198">
        <v>16</v>
      </c>
      <c r="F198" s="1">
        <v>43140</v>
      </c>
      <c r="G198" t="s">
        <v>2</v>
      </c>
    </row>
    <row r="199" spans="1:7" x14ac:dyDescent="0.3">
      <c r="A199" t="s">
        <v>6</v>
      </c>
      <c r="B199">
        <v>73</v>
      </c>
      <c r="C199">
        <v>18</v>
      </c>
      <c r="D199">
        <v>1429</v>
      </c>
      <c r="E199">
        <v>0</v>
      </c>
      <c r="F199" s="1">
        <v>43229</v>
      </c>
      <c r="G199" t="s">
        <v>24</v>
      </c>
    </row>
    <row r="200" spans="1:7" x14ac:dyDescent="0.3">
      <c r="A200" t="s">
        <v>6</v>
      </c>
      <c r="B200">
        <v>81</v>
      </c>
      <c r="C200">
        <v>26</v>
      </c>
      <c r="D200">
        <v>1385</v>
      </c>
      <c r="E200">
        <v>18</v>
      </c>
      <c r="F200" s="1">
        <v>43229</v>
      </c>
      <c r="G200" t="s">
        <v>25</v>
      </c>
    </row>
    <row r="201" spans="1:7" x14ac:dyDescent="0.3">
      <c r="A201" t="s">
        <v>6</v>
      </c>
      <c r="B201">
        <v>74</v>
      </c>
      <c r="C201">
        <v>16</v>
      </c>
      <c r="D201">
        <v>1125</v>
      </c>
      <c r="E201">
        <v>17</v>
      </c>
      <c r="F201" s="1">
        <v>43229</v>
      </c>
      <c r="G201" t="s">
        <v>26</v>
      </c>
    </row>
    <row r="202" spans="1:7" x14ac:dyDescent="0.3">
      <c r="A202" t="s">
        <v>21</v>
      </c>
      <c r="B202">
        <v>3</v>
      </c>
      <c r="C202">
        <v>0</v>
      </c>
      <c r="D202">
        <v>111</v>
      </c>
      <c r="E202">
        <v>0</v>
      </c>
      <c r="F202" s="1">
        <v>42401</v>
      </c>
      <c r="G202" t="s">
        <v>2</v>
      </c>
    </row>
    <row r="203" spans="1:7" x14ac:dyDescent="0.3">
      <c r="A203" t="s">
        <v>21</v>
      </c>
      <c r="B203">
        <v>3</v>
      </c>
      <c r="C203">
        <v>0</v>
      </c>
      <c r="D203">
        <v>65</v>
      </c>
      <c r="E203">
        <v>0</v>
      </c>
      <c r="F203" s="1">
        <v>42511</v>
      </c>
      <c r="G203" t="s">
        <v>24</v>
      </c>
    </row>
    <row r="204" spans="1:7" x14ac:dyDescent="0.3">
      <c r="A204" t="s">
        <v>21</v>
      </c>
      <c r="B204">
        <v>3</v>
      </c>
      <c r="C204">
        <v>0</v>
      </c>
      <c r="D204">
        <v>56</v>
      </c>
      <c r="E204">
        <v>0</v>
      </c>
      <c r="F204" s="1">
        <v>42558</v>
      </c>
      <c r="G204" t="s">
        <v>25</v>
      </c>
    </row>
    <row r="205" spans="1:7" x14ac:dyDescent="0.3">
      <c r="A205" t="s">
        <v>21</v>
      </c>
      <c r="B205">
        <v>0</v>
      </c>
      <c r="C205">
        <v>0</v>
      </c>
      <c r="D205">
        <v>49</v>
      </c>
      <c r="E205">
        <v>0</v>
      </c>
      <c r="F205" s="1">
        <v>42622</v>
      </c>
      <c r="G205" t="s">
        <v>26</v>
      </c>
    </row>
    <row r="206" spans="1:7" x14ac:dyDescent="0.3">
      <c r="A206" t="s">
        <v>21</v>
      </c>
      <c r="B206">
        <v>1</v>
      </c>
      <c r="C206">
        <v>0</v>
      </c>
      <c r="D206">
        <v>43</v>
      </c>
      <c r="E206">
        <v>0</v>
      </c>
      <c r="F206" s="1">
        <v>42800</v>
      </c>
      <c r="G206" t="s">
        <v>2</v>
      </c>
    </row>
    <row r="207" spans="1:7" x14ac:dyDescent="0.3">
      <c r="A207" t="s">
        <v>21</v>
      </c>
      <c r="B207">
        <v>0</v>
      </c>
      <c r="C207">
        <v>0</v>
      </c>
      <c r="D207">
        <v>26</v>
      </c>
      <c r="E207">
        <v>0</v>
      </c>
      <c r="F207" s="1">
        <v>42981</v>
      </c>
      <c r="G207" t="s">
        <v>26</v>
      </c>
    </row>
    <row r="208" spans="1:7" x14ac:dyDescent="0.3">
      <c r="A208" t="s">
        <v>21</v>
      </c>
      <c r="B208">
        <v>1</v>
      </c>
      <c r="C208">
        <v>0</v>
      </c>
      <c r="D208">
        <v>11</v>
      </c>
      <c r="E208">
        <v>0</v>
      </c>
      <c r="F208" s="1">
        <v>42980</v>
      </c>
      <c r="G208" t="s">
        <v>25</v>
      </c>
    </row>
    <row r="209" spans="1:7" x14ac:dyDescent="0.3">
      <c r="A209" t="s">
        <v>21</v>
      </c>
      <c r="B209">
        <v>2</v>
      </c>
      <c r="C209">
        <v>0</v>
      </c>
      <c r="D209">
        <v>25</v>
      </c>
      <c r="E209">
        <v>0</v>
      </c>
      <c r="F209" s="1">
        <v>42924</v>
      </c>
      <c r="G209" t="s">
        <v>24</v>
      </c>
    </row>
    <row r="210" spans="1:7" x14ac:dyDescent="0.3">
      <c r="A210" t="s">
        <v>21</v>
      </c>
      <c r="B210">
        <v>1</v>
      </c>
      <c r="C210">
        <v>1</v>
      </c>
      <c r="D210">
        <v>33</v>
      </c>
      <c r="E210">
        <v>1</v>
      </c>
      <c r="F210" s="1">
        <v>43155</v>
      </c>
      <c r="G210" t="s">
        <v>2</v>
      </c>
    </row>
    <row r="211" spans="1:7" x14ac:dyDescent="0.3">
      <c r="A211" t="s">
        <v>21</v>
      </c>
      <c r="B211">
        <v>2</v>
      </c>
      <c r="C211">
        <v>0</v>
      </c>
      <c r="D211">
        <v>22</v>
      </c>
      <c r="E211">
        <v>0</v>
      </c>
      <c r="F211" s="1">
        <v>43244</v>
      </c>
      <c r="G211" t="s">
        <v>24</v>
      </c>
    </row>
    <row r="212" spans="1:7" x14ac:dyDescent="0.3">
      <c r="A212" t="s">
        <v>21</v>
      </c>
      <c r="B212">
        <v>1</v>
      </c>
      <c r="C212">
        <v>0</v>
      </c>
      <c r="D212">
        <v>35</v>
      </c>
      <c r="E212">
        <v>0</v>
      </c>
      <c r="F212" s="1">
        <v>43244</v>
      </c>
      <c r="G212" t="s">
        <v>25</v>
      </c>
    </row>
    <row r="213" spans="1:7" x14ac:dyDescent="0.3">
      <c r="A213" t="s">
        <v>21</v>
      </c>
      <c r="B213">
        <v>2</v>
      </c>
      <c r="C213">
        <v>0</v>
      </c>
      <c r="D213">
        <v>24</v>
      </c>
      <c r="E213">
        <v>1</v>
      </c>
      <c r="F213" s="1">
        <v>43244</v>
      </c>
      <c r="G213" t="s">
        <v>26</v>
      </c>
    </row>
    <row r="214" spans="1:7" x14ac:dyDescent="0.3">
      <c r="A214" t="s">
        <v>17</v>
      </c>
      <c r="B214">
        <v>0</v>
      </c>
      <c r="C214">
        <v>0</v>
      </c>
      <c r="D214">
        <v>12</v>
      </c>
      <c r="E214">
        <v>0</v>
      </c>
      <c r="F214" s="1">
        <v>42401</v>
      </c>
      <c r="G214" t="s">
        <v>2</v>
      </c>
    </row>
    <row r="215" spans="1:7" x14ac:dyDescent="0.3">
      <c r="A215" t="s">
        <v>17</v>
      </c>
      <c r="B215">
        <v>0</v>
      </c>
      <c r="C215">
        <v>0</v>
      </c>
      <c r="D215">
        <v>9</v>
      </c>
      <c r="E215">
        <v>0</v>
      </c>
      <c r="F215" s="1">
        <v>42511</v>
      </c>
      <c r="G215" t="s">
        <v>24</v>
      </c>
    </row>
    <row r="216" spans="1:7" x14ac:dyDescent="0.3">
      <c r="A216" t="s">
        <v>17</v>
      </c>
      <c r="B216">
        <v>0</v>
      </c>
      <c r="C216">
        <v>0</v>
      </c>
      <c r="D216">
        <v>10</v>
      </c>
      <c r="E216">
        <v>0</v>
      </c>
      <c r="F216" s="1">
        <v>42558</v>
      </c>
      <c r="G216" t="s">
        <v>25</v>
      </c>
    </row>
    <row r="217" spans="1:7" x14ac:dyDescent="0.3">
      <c r="A217" t="s">
        <v>17</v>
      </c>
      <c r="B217">
        <v>2</v>
      </c>
      <c r="C217">
        <v>0</v>
      </c>
      <c r="D217">
        <v>7</v>
      </c>
      <c r="E217">
        <v>0</v>
      </c>
      <c r="F217" s="1">
        <v>42622</v>
      </c>
      <c r="G217" t="s">
        <v>26</v>
      </c>
    </row>
    <row r="218" spans="1:7" x14ac:dyDescent="0.3">
      <c r="A218" t="s">
        <v>17</v>
      </c>
      <c r="B218">
        <v>0</v>
      </c>
      <c r="C218">
        <v>0</v>
      </c>
      <c r="D218">
        <v>11</v>
      </c>
      <c r="E218">
        <v>0</v>
      </c>
      <c r="F218" s="1">
        <v>42796</v>
      </c>
      <c r="G218" t="s">
        <v>2</v>
      </c>
    </row>
    <row r="219" spans="1:7" x14ac:dyDescent="0.3">
      <c r="A219" t="s">
        <v>17</v>
      </c>
      <c r="B219">
        <v>0</v>
      </c>
      <c r="C219">
        <v>0</v>
      </c>
      <c r="D219">
        <v>4</v>
      </c>
      <c r="E219">
        <v>0</v>
      </c>
      <c r="F219" s="1">
        <v>42924</v>
      </c>
      <c r="G219" t="s">
        <v>24</v>
      </c>
    </row>
    <row r="220" spans="1:7" x14ac:dyDescent="0.3">
      <c r="A220" t="s">
        <v>17</v>
      </c>
      <c r="B220">
        <v>0</v>
      </c>
      <c r="C220">
        <v>0</v>
      </c>
      <c r="D220">
        <v>4</v>
      </c>
      <c r="E220">
        <v>0</v>
      </c>
      <c r="F220" s="1">
        <v>42977</v>
      </c>
      <c r="G220" t="s">
        <v>26</v>
      </c>
    </row>
    <row r="221" spans="1:7" x14ac:dyDescent="0.3">
      <c r="A221" t="s">
        <v>17</v>
      </c>
      <c r="B221">
        <v>1</v>
      </c>
      <c r="C221">
        <v>0</v>
      </c>
      <c r="D221">
        <v>7</v>
      </c>
      <c r="E221">
        <v>0</v>
      </c>
      <c r="F221" s="1">
        <v>43151</v>
      </c>
      <c r="G221" t="s">
        <v>2</v>
      </c>
    </row>
    <row r="222" spans="1:7" x14ac:dyDescent="0.3">
      <c r="A222" t="s">
        <v>17</v>
      </c>
      <c r="B222">
        <v>0</v>
      </c>
      <c r="C222">
        <v>0</v>
      </c>
      <c r="D222">
        <v>7</v>
      </c>
      <c r="E222">
        <v>0</v>
      </c>
      <c r="F222" s="1">
        <v>43240</v>
      </c>
      <c r="G222" t="s">
        <v>24</v>
      </c>
    </row>
    <row r="223" spans="1:7" x14ac:dyDescent="0.3">
      <c r="A223" t="s">
        <v>17</v>
      </c>
      <c r="B223">
        <v>0</v>
      </c>
      <c r="C223">
        <v>0</v>
      </c>
      <c r="D223">
        <v>6</v>
      </c>
      <c r="E223">
        <v>0</v>
      </c>
      <c r="F223" s="1">
        <v>43240</v>
      </c>
      <c r="G223" t="s">
        <v>25</v>
      </c>
    </row>
    <row r="224" spans="1:7" x14ac:dyDescent="0.3">
      <c r="A224" t="s">
        <v>17</v>
      </c>
      <c r="B224">
        <v>0</v>
      </c>
      <c r="C224">
        <v>0</v>
      </c>
      <c r="D224">
        <v>7</v>
      </c>
      <c r="E224">
        <v>0</v>
      </c>
      <c r="F224" s="1">
        <v>43240</v>
      </c>
      <c r="G224" t="s">
        <v>26</v>
      </c>
    </row>
    <row r="225" spans="1:7" x14ac:dyDescent="0.3">
      <c r="A225" t="s">
        <v>1</v>
      </c>
      <c r="B225">
        <v>84</v>
      </c>
      <c r="C225">
        <v>21</v>
      </c>
      <c r="D225">
        <v>3019</v>
      </c>
      <c r="E225">
        <v>13</v>
      </c>
      <c r="F225" s="1">
        <v>42401</v>
      </c>
      <c r="G225" t="s">
        <v>2</v>
      </c>
    </row>
    <row r="226" spans="1:7" x14ac:dyDescent="0.3">
      <c r="A226" t="s">
        <v>1</v>
      </c>
      <c r="B226">
        <v>88</v>
      </c>
      <c r="C226">
        <v>11</v>
      </c>
      <c r="D226">
        <v>2708</v>
      </c>
      <c r="E226">
        <v>8</v>
      </c>
      <c r="F226" s="1">
        <v>42511</v>
      </c>
      <c r="G226" t="s">
        <v>24</v>
      </c>
    </row>
    <row r="227" spans="1:7" x14ac:dyDescent="0.3">
      <c r="A227" t="s">
        <v>1</v>
      </c>
      <c r="B227">
        <v>84</v>
      </c>
      <c r="C227">
        <v>4</v>
      </c>
      <c r="D227">
        <v>2109</v>
      </c>
      <c r="E227">
        <v>6</v>
      </c>
      <c r="F227" s="1">
        <v>42558</v>
      </c>
      <c r="G227" t="s">
        <v>25</v>
      </c>
    </row>
    <row r="228" spans="1:7" x14ac:dyDescent="0.3">
      <c r="A228" t="s">
        <v>1</v>
      </c>
      <c r="B228">
        <v>91</v>
      </c>
      <c r="C228">
        <v>15</v>
      </c>
      <c r="D228">
        <v>2433</v>
      </c>
      <c r="E228">
        <v>9</v>
      </c>
      <c r="F228" s="1">
        <v>42622</v>
      </c>
      <c r="G228" t="s">
        <v>26</v>
      </c>
    </row>
    <row r="229" spans="1:7" x14ac:dyDescent="0.3">
      <c r="A229" t="s">
        <v>1</v>
      </c>
      <c r="B229">
        <v>60</v>
      </c>
      <c r="C229">
        <v>8</v>
      </c>
      <c r="D229">
        <v>1498</v>
      </c>
      <c r="E229">
        <v>1</v>
      </c>
      <c r="F229" s="1">
        <v>42962</v>
      </c>
      <c r="G229" t="s">
        <v>25</v>
      </c>
    </row>
    <row r="230" spans="1:7" x14ac:dyDescent="0.3">
      <c r="A230" t="s">
        <v>1</v>
      </c>
      <c r="B230">
        <v>53</v>
      </c>
      <c r="C230">
        <v>11</v>
      </c>
      <c r="D230">
        <v>1539</v>
      </c>
      <c r="E230">
        <v>6</v>
      </c>
      <c r="F230" s="1">
        <v>42924</v>
      </c>
      <c r="G230" t="s">
        <v>24</v>
      </c>
    </row>
    <row r="231" spans="1:7" x14ac:dyDescent="0.3">
      <c r="A231" t="s">
        <v>1</v>
      </c>
      <c r="B231">
        <v>108</v>
      </c>
      <c r="C231">
        <v>20</v>
      </c>
      <c r="D231">
        <v>1928</v>
      </c>
      <c r="E231">
        <v>4</v>
      </c>
      <c r="F231" s="1">
        <v>42962</v>
      </c>
      <c r="G231" t="s">
        <v>26</v>
      </c>
    </row>
    <row r="232" spans="1:7" x14ac:dyDescent="0.3">
      <c r="A232" t="s">
        <v>1</v>
      </c>
      <c r="B232">
        <v>97</v>
      </c>
      <c r="C232">
        <v>10</v>
      </c>
      <c r="D232">
        <v>2304</v>
      </c>
      <c r="E232">
        <v>8</v>
      </c>
      <c r="F232" s="1">
        <v>42781</v>
      </c>
      <c r="G232" t="s">
        <v>2</v>
      </c>
    </row>
    <row r="233" spans="1:7" x14ac:dyDescent="0.3">
      <c r="A233" t="s">
        <v>1</v>
      </c>
      <c r="B233">
        <v>88</v>
      </c>
      <c r="C233">
        <v>16</v>
      </c>
      <c r="D233">
        <v>1887</v>
      </c>
      <c r="E233">
        <v>12</v>
      </c>
      <c r="F233" s="1">
        <v>43136</v>
      </c>
      <c r="G233" t="s">
        <v>2</v>
      </c>
    </row>
    <row r="234" spans="1:7" x14ac:dyDescent="0.3">
      <c r="A234" t="s">
        <v>1</v>
      </c>
      <c r="B234">
        <v>57</v>
      </c>
      <c r="C234">
        <v>6</v>
      </c>
      <c r="D234">
        <v>1520</v>
      </c>
      <c r="E234">
        <v>7</v>
      </c>
      <c r="F234" s="1">
        <v>43225</v>
      </c>
      <c r="G234" t="s">
        <v>24</v>
      </c>
    </row>
    <row r="235" spans="1:7" x14ac:dyDescent="0.3">
      <c r="A235" t="s">
        <v>1</v>
      </c>
      <c r="B235">
        <v>59</v>
      </c>
      <c r="C235">
        <v>11</v>
      </c>
      <c r="D235">
        <v>1583</v>
      </c>
      <c r="E235">
        <v>12</v>
      </c>
      <c r="F235" s="1">
        <v>43225</v>
      </c>
      <c r="G235" t="s">
        <v>25</v>
      </c>
    </row>
    <row r="236" spans="1:7" x14ac:dyDescent="0.3">
      <c r="A236" t="s">
        <v>1</v>
      </c>
      <c r="B236">
        <v>78</v>
      </c>
      <c r="C236">
        <v>10</v>
      </c>
      <c r="D236">
        <v>1469</v>
      </c>
      <c r="E236">
        <v>9</v>
      </c>
      <c r="F236" s="1">
        <v>43225</v>
      </c>
      <c r="G236" t="s">
        <v>26</v>
      </c>
    </row>
    <row r="237" spans="1:7" x14ac:dyDescent="0.3">
      <c r="A237" t="s">
        <v>9</v>
      </c>
      <c r="B237">
        <v>1</v>
      </c>
      <c r="C237">
        <v>0</v>
      </c>
      <c r="D237">
        <v>130</v>
      </c>
      <c r="E237">
        <v>0</v>
      </c>
      <c r="F237" s="1">
        <v>42401</v>
      </c>
      <c r="G237" t="s">
        <v>2</v>
      </c>
    </row>
    <row r="238" spans="1:7" x14ac:dyDescent="0.3">
      <c r="A238" t="s">
        <v>9</v>
      </c>
      <c r="B238">
        <v>2</v>
      </c>
      <c r="C238">
        <v>0</v>
      </c>
      <c r="D238">
        <v>90</v>
      </c>
      <c r="E238">
        <v>0</v>
      </c>
      <c r="F238" s="1">
        <v>42511</v>
      </c>
      <c r="G238" t="s">
        <v>24</v>
      </c>
    </row>
    <row r="239" spans="1:7" x14ac:dyDescent="0.3">
      <c r="A239" t="s">
        <v>9</v>
      </c>
      <c r="B239">
        <v>1</v>
      </c>
      <c r="C239">
        <v>1</v>
      </c>
      <c r="D239">
        <v>76</v>
      </c>
      <c r="E239">
        <v>0</v>
      </c>
      <c r="F239" s="1">
        <v>42558</v>
      </c>
      <c r="G239" t="s">
        <v>25</v>
      </c>
    </row>
    <row r="240" spans="1:7" x14ac:dyDescent="0.3">
      <c r="A240" t="s">
        <v>9</v>
      </c>
      <c r="B240">
        <v>2</v>
      </c>
      <c r="C240">
        <v>2</v>
      </c>
      <c r="D240">
        <v>98</v>
      </c>
      <c r="E240">
        <v>0</v>
      </c>
      <c r="F240" s="1">
        <v>42622</v>
      </c>
      <c r="G240" t="s">
        <v>26</v>
      </c>
    </row>
    <row r="241" spans="1:7" x14ac:dyDescent="0.3">
      <c r="A241" t="s">
        <v>9</v>
      </c>
      <c r="B241">
        <v>1</v>
      </c>
      <c r="C241">
        <v>0</v>
      </c>
      <c r="D241">
        <v>66</v>
      </c>
      <c r="E241">
        <v>0</v>
      </c>
      <c r="F241" s="1">
        <v>42969</v>
      </c>
      <c r="G241" t="s">
        <v>25</v>
      </c>
    </row>
    <row r="242" spans="1:7" x14ac:dyDescent="0.3">
      <c r="A242" t="s">
        <v>9</v>
      </c>
      <c r="B242">
        <v>4</v>
      </c>
      <c r="C242">
        <v>0</v>
      </c>
      <c r="D242">
        <v>74</v>
      </c>
      <c r="E242">
        <v>0</v>
      </c>
      <c r="F242" s="1">
        <v>42969</v>
      </c>
      <c r="G242" t="s">
        <v>26</v>
      </c>
    </row>
    <row r="243" spans="1:7" x14ac:dyDescent="0.3">
      <c r="A243" t="s">
        <v>9</v>
      </c>
      <c r="B243">
        <v>3</v>
      </c>
      <c r="C243">
        <v>1</v>
      </c>
      <c r="D243">
        <v>88</v>
      </c>
      <c r="E243">
        <v>0</v>
      </c>
      <c r="F243" s="1">
        <v>42788</v>
      </c>
      <c r="G243" t="s">
        <v>2</v>
      </c>
    </row>
    <row r="244" spans="1:7" x14ac:dyDescent="0.3">
      <c r="A244" t="s">
        <v>9</v>
      </c>
      <c r="B244">
        <v>1</v>
      </c>
      <c r="C244">
        <v>0</v>
      </c>
      <c r="D244">
        <v>52</v>
      </c>
      <c r="E244">
        <v>0</v>
      </c>
      <c r="F244" s="1">
        <v>42924</v>
      </c>
      <c r="G244" t="s">
        <v>24</v>
      </c>
    </row>
    <row r="245" spans="1:7" x14ac:dyDescent="0.3">
      <c r="A245" t="s">
        <v>9</v>
      </c>
      <c r="B245">
        <v>3</v>
      </c>
      <c r="C245">
        <v>0</v>
      </c>
      <c r="D245">
        <v>56</v>
      </c>
      <c r="E245">
        <v>0</v>
      </c>
      <c r="F245" s="1">
        <v>43143</v>
      </c>
      <c r="G245" t="s">
        <v>2</v>
      </c>
    </row>
    <row r="246" spans="1:7" x14ac:dyDescent="0.3">
      <c r="A246" t="s">
        <v>9</v>
      </c>
      <c r="B246">
        <v>3</v>
      </c>
      <c r="C246">
        <v>0</v>
      </c>
      <c r="D246">
        <v>78</v>
      </c>
      <c r="E246">
        <v>0</v>
      </c>
      <c r="F246" s="1">
        <v>43232</v>
      </c>
      <c r="G246" t="s">
        <v>24</v>
      </c>
    </row>
    <row r="247" spans="1:7" x14ac:dyDescent="0.3">
      <c r="A247" t="s">
        <v>9</v>
      </c>
      <c r="B247">
        <v>2</v>
      </c>
      <c r="C247">
        <v>0</v>
      </c>
      <c r="D247">
        <v>71</v>
      </c>
      <c r="E247">
        <v>0</v>
      </c>
      <c r="F247" s="1">
        <v>43232</v>
      </c>
      <c r="G247" t="s">
        <v>25</v>
      </c>
    </row>
    <row r="248" spans="1:7" x14ac:dyDescent="0.3">
      <c r="A248" t="s">
        <v>9</v>
      </c>
      <c r="B248">
        <v>1</v>
      </c>
      <c r="C248">
        <v>1</v>
      </c>
      <c r="D248">
        <v>48</v>
      </c>
      <c r="E248">
        <v>0</v>
      </c>
      <c r="F248" s="1">
        <v>43232</v>
      </c>
      <c r="G248" t="s">
        <v>26</v>
      </c>
    </row>
    <row r="249" spans="1:7" x14ac:dyDescent="0.3">
      <c r="A249" t="s">
        <v>11</v>
      </c>
      <c r="B249">
        <v>6</v>
      </c>
      <c r="C249">
        <v>0</v>
      </c>
      <c r="D249">
        <v>120</v>
      </c>
      <c r="E249">
        <v>0</v>
      </c>
      <c r="F249" s="1">
        <v>42401</v>
      </c>
      <c r="G249" t="s">
        <v>2</v>
      </c>
    </row>
    <row r="250" spans="1:7" x14ac:dyDescent="0.3">
      <c r="A250" t="s">
        <v>11</v>
      </c>
      <c r="B250">
        <v>8</v>
      </c>
      <c r="C250">
        <v>0</v>
      </c>
      <c r="D250">
        <v>108</v>
      </c>
      <c r="E250">
        <v>1</v>
      </c>
      <c r="F250" s="1">
        <v>42511</v>
      </c>
      <c r="G250" t="s">
        <v>24</v>
      </c>
    </row>
    <row r="251" spans="1:7" x14ac:dyDescent="0.3">
      <c r="A251" t="s">
        <v>11</v>
      </c>
      <c r="B251">
        <v>9</v>
      </c>
      <c r="C251">
        <v>0</v>
      </c>
      <c r="D251">
        <v>75</v>
      </c>
      <c r="E251">
        <v>0</v>
      </c>
      <c r="F251" s="1">
        <v>42558</v>
      </c>
      <c r="G251" t="s">
        <v>25</v>
      </c>
    </row>
    <row r="252" spans="1:7" x14ac:dyDescent="0.3">
      <c r="A252" t="s">
        <v>11</v>
      </c>
      <c r="B252">
        <v>4</v>
      </c>
      <c r="C252">
        <v>0</v>
      </c>
      <c r="D252">
        <v>105</v>
      </c>
      <c r="E252">
        <v>0</v>
      </c>
      <c r="F252" s="1">
        <v>42622</v>
      </c>
      <c r="G252" t="s">
        <v>26</v>
      </c>
    </row>
    <row r="253" spans="1:7" x14ac:dyDescent="0.3">
      <c r="A253" t="s">
        <v>11</v>
      </c>
      <c r="B253">
        <v>3</v>
      </c>
      <c r="C253">
        <v>0</v>
      </c>
      <c r="D253">
        <v>68</v>
      </c>
      <c r="E253">
        <v>0</v>
      </c>
      <c r="F253" s="1">
        <v>42971</v>
      </c>
      <c r="G253" t="s">
        <v>25</v>
      </c>
    </row>
    <row r="254" spans="1:7" x14ac:dyDescent="0.3">
      <c r="A254" t="s">
        <v>11</v>
      </c>
      <c r="B254">
        <v>8</v>
      </c>
      <c r="C254">
        <v>0</v>
      </c>
      <c r="D254">
        <v>110</v>
      </c>
      <c r="E254">
        <v>1</v>
      </c>
      <c r="F254" s="1">
        <v>42790</v>
      </c>
      <c r="G254" t="s">
        <v>2</v>
      </c>
    </row>
    <row r="255" spans="1:7" x14ac:dyDescent="0.3">
      <c r="A255" t="s">
        <v>11</v>
      </c>
      <c r="B255">
        <v>6</v>
      </c>
      <c r="C255">
        <v>0</v>
      </c>
      <c r="D255">
        <v>62</v>
      </c>
      <c r="E255">
        <v>0</v>
      </c>
      <c r="F255" s="1">
        <v>42924</v>
      </c>
      <c r="G255" t="s">
        <v>24</v>
      </c>
    </row>
    <row r="256" spans="1:7" x14ac:dyDescent="0.3">
      <c r="A256" t="s">
        <v>11</v>
      </c>
      <c r="B256">
        <v>1</v>
      </c>
      <c r="C256">
        <v>0</v>
      </c>
      <c r="D256">
        <v>66</v>
      </c>
      <c r="E256">
        <v>0</v>
      </c>
      <c r="F256" s="1">
        <v>42971</v>
      </c>
      <c r="G256" t="s">
        <v>26</v>
      </c>
    </row>
    <row r="257" spans="1:7" x14ac:dyDescent="0.3">
      <c r="A257" t="s">
        <v>11</v>
      </c>
      <c r="B257">
        <v>8</v>
      </c>
      <c r="C257">
        <v>1</v>
      </c>
      <c r="D257">
        <v>94</v>
      </c>
      <c r="E257">
        <v>1</v>
      </c>
      <c r="F257" s="1">
        <v>43145</v>
      </c>
      <c r="G257" t="s">
        <v>2</v>
      </c>
    </row>
    <row r="258" spans="1:7" x14ac:dyDescent="0.3">
      <c r="A258" t="s">
        <v>11</v>
      </c>
      <c r="B258">
        <v>2</v>
      </c>
      <c r="C258">
        <v>1</v>
      </c>
      <c r="D258">
        <v>69</v>
      </c>
      <c r="E258">
        <v>0</v>
      </c>
      <c r="F258" s="1">
        <v>43234</v>
      </c>
      <c r="G258" t="s">
        <v>24</v>
      </c>
    </row>
    <row r="259" spans="1:7" x14ac:dyDescent="0.3">
      <c r="A259" t="s">
        <v>11</v>
      </c>
      <c r="B259">
        <v>5</v>
      </c>
      <c r="C259">
        <v>2</v>
      </c>
      <c r="D259">
        <v>78</v>
      </c>
      <c r="E259">
        <v>0</v>
      </c>
      <c r="F259" s="1">
        <v>43234</v>
      </c>
      <c r="G259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26F0-B2C0-48F5-BE52-8C89E3130BB4}">
  <dimension ref="A1:N261"/>
  <sheetViews>
    <sheetView zoomScale="85" zoomScaleNormal="85" workbookViewId="0">
      <selection activeCell="A262" sqref="A262"/>
    </sheetView>
  </sheetViews>
  <sheetFormatPr defaultColWidth="15.77734375" defaultRowHeight="14.4" x14ac:dyDescent="0.3"/>
  <sheetData>
    <row r="1" spans="1:14" s="3" customFormat="1" ht="59.4" customHeight="1" x14ac:dyDescent="0.3">
      <c r="A1" s="3" t="s">
        <v>0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3" t="s">
        <v>52</v>
      </c>
      <c r="M1" s="2" t="s">
        <v>53</v>
      </c>
      <c r="N1" s="3" t="s">
        <v>78</v>
      </c>
    </row>
    <row r="2" spans="1:14" x14ac:dyDescent="0.3">
      <c r="A2" t="s">
        <v>13</v>
      </c>
      <c r="B2">
        <v>4</v>
      </c>
      <c r="C2">
        <v>144</v>
      </c>
      <c r="D2">
        <v>95</v>
      </c>
      <c r="E2">
        <v>216</v>
      </c>
      <c r="F2">
        <v>57</v>
      </c>
      <c r="G2">
        <v>10</v>
      </c>
      <c r="H2">
        <v>22</v>
      </c>
      <c r="I2">
        <v>15</v>
      </c>
      <c r="J2">
        <v>3</v>
      </c>
      <c r="K2">
        <v>68</v>
      </c>
      <c r="L2" s="1">
        <v>42371</v>
      </c>
      <c r="M2" t="s">
        <v>2</v>
      </c>
      <c r="N2">
        <f>SUM(Table5[[#This Row],[CAUGHT IN]:[Other Accidents]])</f>
        <v>634</v>
      </c>
    </row>
    <row r="3" spans="1:14" x14ac:dyDescent="0.3">
      <c r="A3" t="s">
        <v>13</v>
      </c>
      <c r="B3">
        <v>9</v>
      </c>
      <c r="C3">
        <v>154</v>
      </c>
      <c r="D3">
        <v>78</v>
      </c>
      <c r="E3">
        <v>199</v>
      </c>
      <c r="F3">
        <v>59</v>
      </c>
      <c r="G3">
        <v>7</v>
      </c>
      <c r="H3">
        <v>29</v>
      </c>
      <c r="I3">
        <v>10</v>
      </c>
      <c r="J3">
        <v>4</v>
      </c>
      <c r="K3">
        <v>81</v>
      </c>
      <c r="L3" s="1">
        <v>42432</v>
      </c>
      <c r="M3" t="s">
        <v>24</v>
      </c>
      <c r="N3">
        <f>SUM(Table5[[#This Row],[CAUGHT IN]:[Other Accidents]])</f>
        <v>630</v>
      </c>
    </row>
    <row r="4" spans="1:14" x14ac:dyDescent="0.3">
      <c r="A4" t="s">
        <v>13</v>
      </c>
      <c r="B4">
        <v>5</v>
      </c>
      <c r="C4">
        <v>130</v>
      </c>
      <c r="D4">
        <v>79</v>
      </c>
      <c r="E4">
        <v>161</v>
      </c>
      <c r="F4">
        <v>99</v>
      </c>
      <c r="G4">
        <v>8</v>
      </c>
      <c r="H4">
        <v>19</v>
      </c>
      <c r="I4">
        <v>16</v>
      </c>
      <c r="J4">
        <v>6</v>
      </c>
      <c r="K4">
        <v>43</v>
      </c>
      <c r="L4" s="1">
        <v>42558</v>
      </c>
      <c r="M4" t="s">
        <v>25</v>
      </c>
      <c r="N4">
        <f>SUM(Table5[[#This Row],[CAUGHT IN]:[Other Accidents]])</f>
        <v>566</v>
      </c>
    </row>
    <row r="5" spans="1:14" x14ac:dyDescent="0.3">
      <c r="A5" t="s">
        <v>13</v>
      </c>
      <c r="B5">
        <v>9</v>
      </c>
      <c r="C5">
        <v>137</v>
      </c>
      <c r="D5">
        <v>91</v>
      </c>
      <c r="E5">
        <v>178</v>
      </c>
      <c r="F5">
        <v>50</v>
      </c>
      <c r="G5">
        <v>3</v>
      </c>
      <c r="H5">
        <v>37</v>
      </c>
      <c r="I5">
        <v>12</v>
      </c>
      <c r="J5">
        <v>2</v>
      </c>
      <c r="K5">
        <v>54</v>
      </c>
      <c r="L5" s="1">
        <v>42654</v>
      </c>
      <c r="M5" t="s">
        <v>26</v>
      </c>
      <c r="N5">
        <f>SUM(Table5[[#This Row],[CAUGHT IN]:[Other Accidents]])</f>
        <v>573</v>
      </c>
    </row>
    <row r="6" spans="1:14" x14ac:dyDescent="0.3">
      <c r="A6" t="s">
        <v>13</v>
      </c>
      <c r="B6">
        <v>6</v>
      </c>
      <c r="C6">
        <v>130</v>
      </c>
      <c r="D6">
        <v>79</v>
      </c>
      <c r="E6">
        <v>194</v>
      </c>
      <c r="F6">
        <v>49</v>
      </c>
      <c r="G6">
        <v>5</v>
      </c>
      <c r="H6">
        <v>45</v>
      </c>
      <c r="I6">
        <v>11</v>
      </c>
      <c r="J6">
        <v>6</v>
      </c>
      <c r="K6">
        <v>70</v>
      </c>
      <c r="L6" s="1">
        <v>42371</v>
      </c>
      <c r="M6" t="s">
        <v>2</v>
      </c>
      <c r="N6">
        <f>SUM(Table5[[#This Row],[CAUGHT IN]:[Other Accidents]])</f>
        <v>595</v>
      </c>
    </row>
    <row r="7" spans="1:14" x14ac:dyDescent="0.3">
      <c r="A7" t="s">
        <v>13</v>
      </c>
      <c r="B7">
        <v>3</v>
      </c>
      <c r="C7">
        <v>96</v>
      </c>
      <c r="D7">
        <v>59</v>
      </c>
      <c r="E7">
        <v>131</v>
      </c>
      <c r="F7">
        <v>25</v>
      </c>
      <c r="G7">
        <v>5</v>
      </c>
      <c r="H7">
        <v>16</v>
      </c>
      <c r="I7">
        <v>11</v>
      </c>
      <c r="J7">
        <v>1</v>
      </c>
      <c r="K7">
        <v>45</v>
      </c>
      <c r="L7" s="1">
        <v>42432</v>
      </c>
      <c r="M7" t="s">
        <v>24</v>
      </c>
      <c r="N7">
        <f>SUM(Table5[[#This Row],[CAUGHT IN]:[Other Accidents]])</f>
        <v>392</v>
      </c>
    </row>
    <row r="8" spans="1:14" x14ac:dyDescent="0.3">
      <c r="A8" t="s">
        <v>13</v>
      </c>
      <c r="B8">
        <v>6</v>
      </c>
      <c r="C8">
        <v>91</v>
      </c>
      <c r="D8">
        <v>59</v>
      </c>
      <c r="E8">
        <v>127</v>
      </c>
      <c r="F8">
        <v>37</v>
      </c>
      <c r="G8">
        <v>5</v>
      </c>
      <c r="H8">
        <v>21</v>
      </c>
      <c r="I8">
        <v>6</v>
      </c>
      <c r="J8">
        <v>3</v>
      </c>
      <c r="K8">
        <v>44</v>
      </c>
      <c r="L8" s="1">
        <v>42973</v>
      </c>
      <c r="M8" t="s">
        <v>25</v>
      </c>
      <c r="N8">
        <f>SUM(Table5[[#This Row],[CAUGHT IN]:[Other Accidents]])</f>
        <v>399</v>
      </c>
    </row>
    <row r="9" spans="1:14" x14ac:dyDescent="0.3">
      <c r="A9" t="s">
        <v>13</v>
      </c>
      <c r="B9">
        <v>3</v>
      </c>
      <c r="C9">
        <v>112</v>
      </c>
      <c r="D9">
        <v>65</v>
      </c>
      <c r="E9">
        <v>137</v>
      </c>
      <c r="F9">
        <v>24</v>
      </c>
      <c r="G9">
        <v>5</v>
      </c>
      <c r="H9">
        <v>29</v>
      </c>
      <c r="I9">
        <v>8</v>
      </c>
      <c r="J9">
        <v>3</v>
      </c>
      <c r="K9">
        <v>54</v>
      </c>
      <c r="L9" s="1">
        <v>42973</v>
      </c>
      <c r="M9" t="s">
        <v>26</v>
      </c>
      <c r="N9">
        <f>SUM(Table5[[#This Row],[CAUGHT IN]:[Other Accidents]])</f>
        <v>440</v>
      </c>
    </row>
    <row r="10" spans="1:14" x14ac:dyDescent="0.3">
      <c r="A10" t="s">
        <v>13</v>
      </c>
      <c r="B10">
        <v>4</v>
      </c>
      <c r="C10">
        <v>95</v>
      </c>
      <c r="D10">
        <v>87</v>
      </c>
      <c r="E10">
        <v>135</v>
      </c>
      <c r="F10">
        <v>18</v>
      </c>
      <c r="G10">
        <v>3</v>
      </c>
      <c r="H10">
        <v>17</v>
      </c>
      <c r="I10">
        <v>7</v>
      </c>
      <c r="J10">
        <v>5</v>
      </c>
      <c r="K10">
        <v>52</v>
      </c>
      <c r="L10" s="1">
        <v>42371</v>
      </c>
      <c r="M10" t="s">
        <v>2</v>
      </c>
      <c r="N10">
        <f>SUM(Table5[[#This Row],[CAUGHT IN]:[Other Accidents]])</f>
        <v>423</v>
      </c>
    </row>
    <row r="11" spans="1:14" x14ac:dyDescent="0.3">
      <c r="A11" t="s">
        <v>13</v>
      </c>
      <c r="B11">
        <v>3</v>
      </c>
      <c r="C11">
        <v>84</v>
      </c>
      <c r="D11">
        <v>39</v>
      </c>
      <c r="E11">
        <v>97</v>
      </c>
      <c r="F11">
        <v>26</v>
      </c>
      <c r="G11">
        <v>6</v>
      </c>
      <c r="H11">
        <v>21</v>
      </c>
      <c r="I11">
        <v>9</v>
      </c>
      <c r="J11">
        <v>2</v>
      </c>
      <c r="K11">
        <v>51</v>
      </c>
      <c r="L11" s="1">
        <v>42432</v>
      </c>
      <c r="M11" t="s">
        <v>24</v>
      </c>
      <c r="N11">
        <f>SUM(Table5[[#This Row],[CAUGHT IN]:[Other Accidents]])</f>
        <v>338</v>
      </c>
    </row>
    <row r="12" spans="1:14" x14ac:dyDescent="0.3">
      <c r="A12" t="s">
        <v>13</v>
      </c>
      <c r="B12">
        <v>3</v>
      </c>
      <c r="C12">
        <v>97</v>
      </c>
      <c r="D12">
        <v>75</v>
      </c>
      <c r="E12">
        <v>125</v>
      </c>
      <c r="F12">
        <v>19</v>
      </c>
      <c r="G12">
        <v>2</v>
      </c>
      <c r="H12">
        <v>15</v>
      </c>
      <c r="I12">
        <v>4</v>
      </c>
      <c r="J12">
        <v>6</v>
      </c>
      <c r="K12">
        <v>47</v>
      </c>
      <c r="L12" s="1">
        <v>42432</v>
      </c>
      <c r="M12" t="s">
        <v>24</v>
      </c>
      <c r="N12">
        <f>SUM(Table5[[#This Row],[CAUGHT IN]:[Other Accidents]])</f>
        <v>393</v>
      </c>
    </row>
    <row r="13" spans="1:14" x14ac:dyDescent="0.3">
      <c r="A13" t="s">
        <v>13</v>
      </c>
      <c r="B13">
        <v>6</v>
      </c>
      <c r="C13">
        <v>77</v>
      </c>
      <c r="D13">
        <v>60</v>
      </c>
      <c r="E13">
        <v>108</v>
      </c>
      <c r="F13">
        <v>41</v>
      </c>
      <c r="G13">
        <v>3</v>
      </c>
      <c r="H13">
        <v>13</v>
      </c>
      <c r="I13">
        <v>8</v>
      </c>
      <c r="J13">
        <v>1</v>
      </c>
      <c r="K13">
        <v>33</v>
      </c>
      <c r="L13" s="1">
        <v>42432</v>
      </c>
      <c r="M13" t="s">
        <v>24</v>
      </c>
      <c r="N13">
        <f>SUM(Table5[[#This Row],[CAUGHT IN]:[Other Accidents]])</f>
        <v>350</v>
      </c>
    </row>
    <row r="14" spans="1:14" x14ac:dyDescent="0.3">
      <c r="A14" t="s">
        <v>20</v>
      </c>
      <c r="B14">
        <v>1</v>
      </c>
      <c r="C14">
        <v>20</v>
      </c>
      <c r="D14">
        <v>8</v>
      </c>
      <c r="E14">
        <v>30</v>
      </c>
      <c r="F14">
        <v>5</v>
      </c>
      <c r="G14">
        <v>1</v>
      </c>
      <c r="H14">
        <v>3</v>
      </c>
      <c r="I14">
        <v>1</v>
      </c>
      <c r="J14">
        <v>0</v>
      </c>
      <c r="K14">
        <v>5</v>
      </c>
      <c r="L14" s="1">
        <v>42371</v>
      </c>
      <c r="M14" t="s">
        <v>2</v>
      </c>
      <c r="N14">
        <f>SUM(Table5[[#This Row],[CAUGHT IN]:[Other Accidents]])</f>
        <v>74</v>
      </c>
    </row>
    <row r="15" spans="1:14" x14ac:dyDescent="0.3">
      <c r="A15" t="s">
        <v>20</v>
      </c>
      <c r="B15">
        <v>0</v>
      </c>
      <c r="C15">
        <v>15</v>
      </c>
      <c r="D15">
        <v>14</v>
      </c>
      <c r="E15">
        <v>24</v>
      </c>
      <c r="F15">
        <v>7</v>
      </c>
      <c r="G15">
        <v>1</v>
      </c>
      <c r="H15">
        <v>4</v>
      </c>
      <c r="I15">
        <v>0</v>
      </c>
      <c r="J15">
        <v>0</v>
      </c>
      <c r="K15">
        <v>4</v>
      </c>
      <c r="L15" s="1">
        <v>42432</v>
      </c>
      <c r="M15" t="s">
        <v>24</v>
      </c>
      <c r="N15">
        <f>SUM(Table5[[#This Row],[CAUGHT IN]:[Other Accidents]])</f>
        <v>69</v>
      </c>
    </row>
    <row r="16" spans="1:14" x14ac:dyDescent="0.3">
      <c r="A16" t="s">
        <v>20</v>
      </c>
      <c r="B16">
        <v>2</v>
      </c>
      <c r="C16">
        <v>8</v>
      </c>
      <c r="D16">
        <v>4</v>
      </c>
      <c r="E16">
        <v>18</v>
      </c>
      <c r="F16">
        <v>3</v>
      </c>
      <c r="G16">
        <v>2</v>
      </c>
      <c r="H16">
        <v>5</v>
      </c>
      <c r="I16">
        <v>0</v>
      </c>
      <c r="J16">
        <v>0</v>
      </c>
      <c r="K16">
        <v>7</v>
      </c>
      <c r="L16" s="1">
        <v>42558</v>
      </c>
      <c r="M16" t="s">
        <v>25</v>
      </c>
      <c r="N16">
        <f>SUM(Table5[[#This Row],[CAUGHT IN]:[Other Accidents]])</f>
        <v>49</v>
      </c>
    </row>
    <row r="17" spans="1:14" x14ac:dyDescent="0.3">
      <c r="A17" t="s">
        <v>20</v>
      </c>
      <c r="B17">
        <v>1</v>
      </c>
      <c r="C17">
        <v>16</v>
      </c>
      <c r="D17">
        <v>9</v>
      </c>
      <c r="E17">
        <v>30</v>
      </c>
      <c r="F17">
        <v>8</v>
      </c>
      <c r="G17">
        <v>0</v>
      </c>
      <c r="H17">
        <v>0</v>
      </c>
      <c r="I17">
        <v>0</v>
      </c>
      <c r="J17">
        <v>0</v>
      </c>
      <c r="K17">
        <v>13</v>
      </c>
      <c r="L17" s="1">
        <v>42654</v>
      </c>
      <c r="M17" t="s">
        <v>26</v>
      </c>
      <c r="N17">
        <f>SUM(Table5[[#This Row],[CAUGHT IN]:[Other Accidents]])</f>
        <v>77</v>
      </c>
    </row>
    <row r="18" spans="1:14" x14ac:dyDescent="0.3">
      <c r="A18" t="s">
        <v>20</v>
      </c>
      <c r="B18">
        <v>2</v>
      </c>
      <c r="C18">
        <v>6</v>
      </c>
      <c r="D18">
        <v>9</v>
      </c>
      <c r="E18">
        <v>21</v>
      </c>
      <c r="F18">
        <v>6</v>
      </c>
      <c r="G18">
        <v>0</v>
      </c>
      <c r="H18">
        <v>4</v>
      </c>
      <c r="I18">
        <v>1</v>
      </c>
      <c r="J18">
        <v>0</v>
      </c>
      <c r="K18">
        <v>2</v>
      </c>
      <c r="L18" s="1">
        <v>42371</v>
      </c>
      <c r="M18" t="s">
        <v>2</v>
      </c>
      <c r="N18">
        <f>SUM(Table5[[#This Row],[CAUGHT IN]:[Other Accidents]])</f>
        <v>51</v>
      </c>
    </row>
    <row r="19" spans="1:14" x14ac:dyDescent="0.3">
      <c r="A19" t="s">
        <v>20</v>
      </c>
      <c r="B19">
        <v>0</v>
      </c>
      <c r="C19">
        <v>7</v>
      </c>
      <c r="D19">
        <v>8</v>
      </c>
      <c r="E19">
        <v>10</v>
      </c>
      <c r="F19">
        <v>5</v>
      </c>
      <c r="G19">
        <v>0</v>
      </c>
      <c r="H19">
        <v>3</v>
      </c>
      <c r="I19">
        <v>0</v>
      </c>
      <c r="J19">
        <v>0</v>
      </c>
      <c r="K19">
        <v>3</v>
      </c>
      <c r="L19" s="1">
        <v>42432</v>
      </c>
      <c r="M19" t="s">
        <v>24</v>
      </c>
      <c r="N19">
        <f>SUM(Table5[[#This Row],[CAUGHT IN]:[Other Accidents]])</f>
        <v>36</v>
      </c>
    </row>
    <row r="20" spans="1:14" x14ac:dyDescent="0.3">
      <c r="A20" t="s">
        <v>20</v>
      </c>
      <c r="B20">
        <v>0</v>
      </c>
      <c r="C20">
        <v>6</v>
      </c>
      <c r="D20">
        <v>3</v>
      </c>
      <c r="E20">
        <v>7</v>
      </c>
      <c r="F20">
        <v>2</v>
      </c>
      <c r="G20">
        <v>0</v>
      </c>
      <c r="H20">
        <v>3</v>
      </c>
      <c r="I20">
        <v>0</v>
      </c>
      <c r="J20">
        <v>0</v>
      </c>
      <c r="K20">
        <v>1</v>
      </c>
      <c r="L20" s="1">
        <v>42979</v>
      </c>
      <c r="M20" t="s">
        <v>25</v>
      </c>
      <c r="N20">
        <f>SUM(Table5[[#This Row],[CAUGHT IN]:[Other Accidents]])</f>
        <v>22</v>
      </c>
    </row>
    <row r="21" spans="1:14" x14ac:dyDescent="0.3">
      <c r="A21" t="s">
        <v>20</v>
      </c>
      <c r="B21">
        <v>0</v>
      </c>
      <c r="C21">
        <v>13</v>
      </c>
      <c r="D21">
        <v>9</v>
      </c>
      <c r="E21">
        <v>17</v>
      </c>
      <c r="F21">
        <v>2</v>
      </c>
      <c r="G21">
        <v>0</v>
      </c>
      <c r="H21">
        <v>3</v>
      </c>
      <c r="I21">
        <v>0</v>
      </c>
      <c r="J21">
        <v>0</v>
      </c>
      <c r="K21">
        <v>5</v>
      </c>
      <c r="L21" s="1">
        <v>42980</v>
      </c>
      <c r="M21" t="s">
        <v>26</v>
      </c>
      <c r="N21">
        <f>SUM(Table5[[#This Row],[CAUGHT IN]:[Other Accidents]])</f>
        <v>49</v>
      </c>
    </row>
    <row r="22" spans="1:14" x14ac:dyDescent="0.3">
      <c r="A22" t="s">
        <v>20</v>
      </c>
      <c r="B22">
        <v>0</v>
      </c>
      <c r="C22">
        <v>8</v>
      </c>
      <c r="D22">
        <v>12</v>
      </c>
      <c r="E22">
        <v>17</v>
      </c>
      <c r="F22">
        <v>1</v>
      </c>
      <c r="G22">
        <v>1</v>
      </c>
      <c r="H22">
        <v>2</v>
      </c>
      <c r="I22">
        <v>0</v>
      </c>
      <c r="J22">
        <v>0</v>
      </c>
      <c r="K22">
        <v>3</v>
      </c>
      <c r="L22" s="1">
        <v>42371</v>
      </c>
      <c r="M22" t="s">
        <v>2</v>
      </c>
      <c r="N22">
        <f>SUM(Table5[[#This Row],[CAUGHT IN]:[Other Accidents]])</f>
        <v>44</v>
      </c>
    </row>
    <row r="23" spans="1:14" x14ac:dyDescent="0.3">
      <c r="A23" t="s">
        <v>20</v>
      </c>
      <c r="B23">
        <v>0</v>
      </c>
      <c r="C23">
        <v>12</v>
      </c>
      <c r="D23">
        <v>6</v>
      </c>
      <c r="E23">
        <v>12</v>
      </c>
      <c r="F23">
        <v>1</v>
      </c>
      <c r="G23">
        <v>0</v>
      </c>
      <c r="H23">
        <v>2</v>
      </c>
      <c r="I23">
        <v>1</v>
      </c>
      <c r="J23">
        <v>0</v>
      </c>
      <c r="K23">
        <v>3</v>
      </c>
      <c r="L23" s="1">
        <v>42432</v>
      </c>
      <c r="M23" t="s">
        <v>24</v>
      </c>
      <c r="N23">
        <f>SUM(Table5[[#This Row],[CAUGHT IN]:[Other Accidents]])</f>
        <v>37</v>
      </c>
    </row>
    <row r="24" spans="1:14" x14ac:dyDescent="0.3">
      <c r="A24" t="s">
        <v>20</v>
      </c>
      <c r="B24">
        <v>0</v>
      </c>
      <c r="C24">
        <v>1</v>
      </c>
      <c r="D24">
        <v>7</v>
      </c>
      <c r="E24">
        <v>11</v>
      </c>
      <c r="F24">
        <v>2</v>
      </c>
      <c r="G24">
        <v>0</v>
      </c>
      <c r="H24">
        <v>2</v>
      </c>
      <c r="I24">
        <v>0</v>
      </c>
      <c r="J24">
        <v>0</v>
      </c>
      <c r="K24">
        <v>7</v>
      </c>
      <c r="L24" s="1">
        <v>42432</v>
      </c>
      <c r="M24" t="s">
        <v>24</v>
      </c>
      <c r="N24">
        <f>SUM(Table5[[#This Row],[CAUGHT IN]:[Other Accidents]])</f>
        <v>30</v>
      </c>
    </row>
    <row r="25" spans="1:14" x14ac:dyDescent="0.3">
      <c r="A25" t="s">
        <v>20</v>
      </c>
      <c r="B25">
        <v>2</v>
      </c>
      <c r="C25">
        <v>6</v>
      </c>
      <c r="D25">
        <v>7</v>
      </c>
      <c r="E25">
        <v>15</v>
      </c>
      <c r="F25">
        <v>3</v>
      </c>
      <c r="G25">
        <v>0</v>
      </c>
      <c r="H25">
        <v>3</v>
      </c>
      <c r="I25">
        <v>1</v>
      </c>
      <c r="J25">
        <v>0</v>
      </c>
      <c r="K25">
        <v>6</v>
      </c>
      <c r="L25" s="1">
        <v>42432</v>
      </c>
      <c r="M25" t="s">
        <v>24</v>
      </c>
      <c r="N25">
        <f>SUM(Table5[[#This Row],[CAUGHT IN]:[Other Accidents]])</f>
        <v>43</v>
      </c>
    </row>
    <row r="26" spans="1:14" x14ac:dyDescent="0.3">
      <c r="A26" t="s">
        <v>14</v>
      </c>
      <c r="B26">
        <v>1</v>
      </c>
      <c r="C26">
        <v>4</v>
      </c>
      <c r="D26">
        <v>2</v>
      </c>
      <c r="E26">
        <v>4</v>
      </c>
      <c r="F26">
        <v>7</v>
      </c>
      <c r="G26">
        <v>0</v>
      </c>
      <c r="H26">
        <v>1</v>
      </c>
      <c r="I26">
        <v>2</v>
      </c>
      <c r="J26">
        <v>0</v>
      </c>
      <c r="K26">
        <v>0</v>
      </c>
      <c r="L26" s="1">
        <v>42371</v>
      </c>
      <c r="M26" t="s">
        <v>2</v>
      </c>
      <c r="N26">
        <f>SUM(Table5[[#This Row],[CAUGHT IN]:[Other Accidents]])</f>
        <v>21</v>
      </c>
    </row>
    <row r="27" spans="1:14" x14ac:dyDescent="0.3">
      <c r="A27" t="s">
        <v>14</v>
      </c>
      <c r="B27">
        <v>0</v>
      </c>
      <c r="C27">
        <v>3</v>
      </c>
      <c r="D27">
        <v>1</v>
      </c>
      <c r="E27">
        <v>3</v>
      </c>
      <c r="F27">
        <v>5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42432</v>
      </c>
      <c r="M27" t="s">
        <v>24</v>
      </c>
      <c r="N27">
        <f>SUM(Table5[[#This Row],[CAUGHT IN]:[Other Accidents]])</f>
        <v>12</v>
      </c>
    </row>
    <row r="28" spans="1:14" x14ac:dyDescent="0.3">
      <c r="A28" t="s">
        <v>14</v>
      </c>
      <c r="B28">
        <v>0</v>
      </c>
      <c r="C28">
        <v>1</v>
      </c>
      <c r="D28">
        <v>4</v>
      </c>
      <c r="E28">
        <v>7</v>
      </c>
      <c r="F28">
        <v>10</v>
      </c>
      <c r="G28">
        <v>0</v>
      </c>
      <c r="H28">
        <v>0</v>
      </c>
      <c r="I28">
        <v>2</v>
      </c>
      <c r="J28">
        <v>0</v>
      </c>
      <c r="K28">
        <v>0</v>
      </c>
      <c r="L28" s="1">
        <v>42558</v>
      </c>
      <c r="M28" t="s">
        <v>25</v>
      </c>
      <c r="N28">
        <f>SUM(Table5[[#This Row],[CAUGHT IN]:[Other Accidents]])</f>
        <v>24</v>
      </c>
    </row>
    <row r="29" spans="1:14" x14ac:dyDescent="0.3">
      <c r="A29" t="s">
        <v>14</v>
      </c>
      <c r="B29">
        <v>0</v>
      </c>
      <c r="C29">
        <v>3</v>
      </c>
      <c r="D29">
        <v>4</v>
      </c>
      <c r="E29">
        <v>11</v>
      </c>
      <c r="F29">
        <v>6</v>
      </c>
      <c r="G29">
        <v>0</v>
      </c>
      <c r="H29">
        <v>0</v>
      </c>
      <c r="I29">
        <v>1</v>
      </c>
      <c r="J29">
        <v>0</v>
      </c>
      <c r="K29">
        <v>0</v>
      </c>
      <c r="L29" s="1">
        <v>42654</v>
      </c>
      <c r="M29" t="s">
        <v>26</v>
      </c>
      <c r="N29">
        <f>SUM(Table5[[#This Row],[CAUGHT IN]:[Other Accidents]])</f>
        <v>25</v>
      </c>
    </row>
    <row r="30" spans="1:14" x14ac:dyDescent="0.3">
      <c r="A30" t="s">
        <v>14</v>
      </c>
      <c r="B30">
        <v>1</v>
      </c>
      <c r="C30">
        <v>4</v>
      </c>
      <c r="D30">
        <v>6</v>
      </c>
      <c r="E30">
        <v>3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42371</v>
      </c>
      <c r="M30" t="s">
        <v>2</v>
      </c>
      <c r="N30">
        <f>SUM(Table5[[#This Row],[CAUGHT IN]:[Other Accidents]])</f>
        <v>18</v>
      </c>
    </row>
    <row r="31" spans="1:14" x14ac:dyDescent="0.3">
      <c r="A31" t="s">
        <v>14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 s="1">
        <v>42432</v>
      </c>
      <c r="M31" t="s">
        <v>24</v>
      </c>
      <c r="N31">
        <f>SUM(Table5[[#This Row],[CAUGHT IN]:[Other Accidents]])</f>
        <v>3</v>
      </c>
    </row>
    <row r="32" spans="1:14" x14ac:dyDescent="0.3">
      <c r="A32" t="s">
        <v>14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42974</v>
      </c>
      <c r="M32" t="s">
        <v>25</v>
      </c>
      <c r="N32">
        <f>SUM(Table5[[#This Row],[CAUGHT IN]:[Other Accidents]])</f>
        <v>1</v>
      </c>
    </row>
    <row r="33" spans="1:14" x14ac:dyDescent="0.3">
      <c r="A33" t="s">
        <v>14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">
        <v>42974</v>
      </c>
      <c r="M33" t="s">
        <v>26</v>
      </c>
      <c r="N33">
        <f>SUM(Table5[[#This Row],[CAUGHT IN]:[Other Accidents]])</f>
        <v>1</v>
      </c>
    </row>
    <row r="34" spans="1:14" x14ac:dyDescent="0.3">
      <c r="A34" t="s">
        <v>14</v>
      </c>
      <c r="B34">
        <v>0</v>
      </c>
      <c r="C34">
        <v>0</v>
      </c>
      <c r="D34">
        <v>1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 s="1">
        <v>42371</v>
      </c>
      <c r="M34" t="s">
        <v>2</v>
      </c>
      <c r="N34">
        <f>SUM(Table5[[#This Row],[CAUGHT IN]:[Other Accidents]])</f>
        <v>6</v>
      </c>
    </row>
    <row r="35" spans="1:14" x14ac:dyDescent="0.3">
      <c r="A35" t="s">
        <v>14</v>
      </c>
      <c r="B35">
        <v>0</v>
      </c>
      <c r="C35">
        <v>0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 s="1">
        <v>42432</v>
      </c>
      <c r="M35" t="s">
        <v>24</v>
      </c>
      <c r="N35">
        <f>SUM(Table5[[#This Row],[CAUGHT IN]:[Other Accidents]])</f>
        <v>3</v>
      </c>
    </row>
    <row r="36" spans="1:14" x14ac:dyDescent="0.3">
      <c r="A36" t="s">
        <v>14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v>42432</v>
      </c>
      <c r="M36" t="s">
        <v>24</v>
      </c>
      <c r="N36">
        <f>SUM(Table5[[#This Row],[CAUGHT IN]:[Other Accidents]])</f>
        <v>1</v>
      </c>
    </row>
    <row r="37" spans="1:14" x14ac:dyDescent="0.3">
      <c r="A37" t="s">
        <v>14</v>
      </c>
      <c r="B37">
        <v>0</v>
      </c>
      <c r="C37">
        <v>0</v>
      </c>
      <c r="D37">
        <v>1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 s="1">
        <v>42432</v>
      </c>
      <c r="M37" t="s">
        <v>24</v>
      </c>
      <c r="N37">
        <f>SUM(Table5[[#This Row],[CAUGHT IN]:[Other Accidents]])</f>
        <v>31</v>
      </c>
    </row>
    <row r="38" spans="1:14" x14ac:dyDescent="0.3">
      <c r="A38" t="s">
        <v>5</v>
      </c>
      <c r="B38">
        <v>0</v>
      </c>
      <c r="C38">
        <v>4</v>
      </c>
      <c r="D38">
        <v>1</v>
      </c>
      <c r="E38">
        <v>10</v>
      </c>
      <c r="F38">
        <v>5</v>
      </c>
      <c r="G38">
        <v>0</v>
      </c>
      <c r="H38">
        <v>3</v>
      </c>
      <c r="I38">
        <v>1</v>
      </c>
      <c r="J38">
        <v>0</v>
      </c>
      <c r="K38">
        <v>3</v>
      </c>
      <c r="L38" s="1">
        <v>42371</v>
      </c>
      <c r="M38" t="s">
        <v>2</v>
      </c>
      <c r="N38">
        <f>SUM(Table5[[#This Row],[CAUGHT IN]:[Other Accidents]])</f>
        <v>27</v>
      </c>
    </row>
    <row r="39" spans="1:14" x14ac:dyDescent="0.3">
      <c r="A39" t="s">
        <v>5</v>
      </c>
      <c r="B39">
        <v>1</v>
      </c>
      <c r="C39">
        <v>13</v>
      </c>
      <c r="D39">
        <v>8</v>
      </c>
      <c r="E39">
        <v>9</v>
      </c>
      <c r="F39">
        <v>10</v>
      </c>
      <c r="G39">
        <v>0</v>
      </c>
      <c r="H39">
        <v>6</v>
      </c>
      <c r="I39">
        <v>0</v>
      </c>
      <c r="J39">
        <v>0</v>
      </c>
      <c r="K39">
        <v>4</v>
      </c>
      <c r="L39" s="1">
        <v>42432</v>
      </c>
      <c r="M39" t="s">
        <v>24</v>
      </c>
      <c r="N39">
        <f>SUM(Table5[[#This Row],[CAUGHT IN]:[Other Accidents]])</f>
        <v>51</v>
      </c>
    </row>
    <row r="40" spans="1:14" x14ac:dyDescent="0.3">
      <c r="A40" t="s">
        <v>5</v>
      </c>
      <c r="B40">
        <v>0</v>
      </c>
      <c r="C40">
        <v>10</v>
      </c>
      <c r="D40">
        <v>9</v>
      </c>
      <c r="E40">
        <v>10</v>
      </c>
      <c r="F40">
        <v>2</v>
      </c>
      <c r="G40">
        <v>0</v>
      </c>
      <c r="H40">
        <v>3</v>
      </c>
      <c r="I40">
        <v>1</v>
      </c>
      <c r="J40">
        <v>0</v>
      </c>
      <c r="K40">
        <v>1</v>
      </c>
      <c r="L40" s="1">
        <v>42558</v>
      </c>
      <c r="M40" t="s">
        <v>25</v>
      </c>
      <c r="N40">
        <f>SUM(Table5[[#This Row],[CAUGHT IN]:[Other Accidents]])</f>
        <v>36</v>
      </c>
    </row>
    <row r="41" spans="1:14" x14ac:dyDescent="0.3">
      <c r="A41" t="s">
        <v>5</v>
      </c>
      <c r="B41">
        <v>0</v>
      </c>
      <c r="C41">
        <v>21</v>
      </c>
      <c r="D41">
        <v>4</v>
      </c>
      <c r="E41">
        <v>18</v>
      </c>
      <c r="F41">
        <v>4</v>
      </c>
      <c r="G41">
        <v>1</v>
      </c>
      <c r="H41">
        <v>4</v>
      </c>
      <c r="I41">
        <v>0</v>
      </c>
      <c r="J41">
        <v>1</v>
      </c>
      <c r="K41">
        <v>3</v>
      </c>
      <c r="L41" s="1">
        <v>42654</v>
      </c>
      <c r="M41" t="s">
        <v>26</v>
      </c>
      <c r="N41">
        <f>SUM(Table5[[#This Row],[CAUGHT IN]:[Other Accidents]])</f>
        <v>56</v>
      </c>
    </row>
    <row r="42" spans="1:14" x14ac:dyDescent="0.3">
      <c r="A42" t="s">
        <v>5</v>
      </c>
      <c r="B42">
        <v>2</v>
      </c>
      <c r="C42">
        <v>17</v>
      </c>
      <c r="D42">
        <v>14</v>
      </c>
      <c r="E42">
        <v>14</v>
      </c>
      <c r="F42">
        <v>3</v>
      </c>
      <c r="G42">
        <v>1</v>
      </c>
      <c r="H42">
        <v>4</v>
      </c>
      <c r="I42">
        <v>0</v>
      </c>
      <c r="J42">
        <v>2</v>
      </c>
      <c r="K42">
        <v>5</v>
      </c>
      <c r="L42" s="1">
        <v>42371</v>
      </c>
      <c r="M42" t="s">
        <v>2</v>
      </c>
      <c r="N42">
        <f>SUM(Table5[[#This Row],[CAUGHT IN]:[Other Accidents]])</f>
        <v>62</v>
      </c>
    </row>
    <row r="43" spans="1:14" x14ac:dyDescent="0.3">
      <c r="A43" t="s">
        <v>5</v>
      </c>
      <c r="B43">
        <v>0</v>
      </c>
      <c r="C43">
        <v>5</v>
      </c>
      <c r="D43">
        <v>1</v>
      </c>
      <c r="E43">
        <v>1</v>
      </c>
      <c r="F43">
        <v>2</v>
      </c>
      <c r="G43">
        <v>1</v>
      </c>
      <c r="H43">
        <v>0</v>
      </c>
      <c r="I43">
        <v>0</v>
      </c>
      <c r="J43">
        <v>1</v>
      </c>
      <c r="K43">
        <v>2</v>
      </c>
      <c r="L43" s="1">
        <v>42432</v>
      </c>
      <c r="M43" t="s">
        <v>24</v>
      </c>
      <c r="N43">
        <f>SUM(Table5[[#This Row],[CAUGHT IN]:[Other Accidents]])</f>
        <v>13</v>
      </c>
    </row>
    <row r="44" spans="1:14" x14ac:dyDescent="0.3">
      <c r="A44" t="s">
        <v>5</v>
      </c>
      <c r="B44">
        <v>0</v>
      </c>
      <c r="C44">
        <v>8</v>
      </c>
      <c r="D44">
        <v>0</v>
      </c>
      <c r="E44">
        <v>8</v>
      </c>
      <c r="F44">
        <v>2</v>
      </c>
      <c r="G44">
        <v>0</v>
      </c>
      <c r="H44">
        <v>2</v>
      </c>
      <c r="I44">
        <v>0</v>
      </c>
      <c r="J44">
        <v>0</v>
      </c>
      <c r="K44">
        <v>0</v>
      </c>
      <c r="L44" s="1">
        <v>42965</v>
      </c>
      <c r="M44" t="s">
        <v>25</v>
      </c>
      <c r="N44">
        <f>SUM(Table5[[#This Row],[CAUGHT IN]:[Other Accidents]])</f>
        <v>20</v>
      </c>
    </row>
    <row r="45" spans="1:14" x14ac:dyDescent="0.3">
      <c r="A45" t="s">
        <v>5</v>
      </c>
      <c r="B45">
        <v>0</v>
      </c>
      <c r="C45">
        <v>9</v>
      </c>
      <c r="D45">
        <v>4</v>
      </c>
      <c r="E45">
        <v>7</v>
      </c>
      <c r="F45">
        <v>3</v>
      </c>
      <c r="G45">
        <v>0</v>
      </c>
      <c r="H45">
        <v>1</v>
      </c>
      <c r="I45">
        <v>0</v>
      </c>
      <c r="J45">
        <v>0</v>
      </c>
      <c r="K45">
        <v>0</v>
      </c>
      <c r="L45" s="1">
        <v>42965</v>
      </c>
      <c r="M45" t="s">
        <v>26</v>
      </c>
      <c r="N45">
        <f>SUM(Table5[[#This Row],[CAUGHT IN]:[Other Accidents]])</f>
        <v>24</v>
      </c>
    </row>
    <row r="46" spans="1:14" x14ac:dyDescent="0.3">
      <c r="A46" t="s">
        <v>5</v>
      </c>
      <c r="B46">
        <v>1</v>
      </c>
      <c r="C46">
        <v>11</v>
      </c>
      <c r="D46">
        <v>2</v>
      </c>
      <c r="E46">
        <v>11</v>
      </c>
      <c r="F46">
        <v>4</v>
      </c>
      <c r="G46">
        <v>1</v>
      </c>
      <c r="H46">
        <v>1</v>
      </c>
      <c r="I46">
        <v>1</v>
      </c>
      <c r="J46">
        <v>0</v>
      </c>
      <c r="K46">
        <v>2</v>
      </c>
      <c r="L46" s="1">
        <v>42371</v>
      </c>
      <c r="M46" t="s">
        <v>2</v>
      </c>
      <c r="N46">
        <f>SUM(Table5[[#This Row],[CAUGHT IN]:[Other Accidents]])</f>
        <v>34</v>
      </c>
    </row>
    <row r="47" spans="1:14" x14ac:dyDescent="0.3">
      <c r="A47" t="s">
        <v>5</v>
      </c>
      <c r="B47">
        <v>0</v>
      </c>
      <c r="C47">
        <v>3</v>
      </c>
      <c r="D47">
        <v>3</v>
      </c>
      <c r="E47">
        <v>4</v>
      </c>
      <c r="F47">
        <v>1</v>
      </c>
      <c r="G47">
        <v>0</v>
      </c>
      <c r="H47">
        <v>1</v>
      </c>
      <c r="I47">
        <v>0</v>
      </c>
      <c r="J47">
        <v>0</v>
      </c>
      <c r="K47">
        <v>8</v>
      </c>
      <c r="L47" s="1">
        <v>42432</v>
      </c>
      <c r="M47" t="s">
        <v>24</v>
      </c>
      <c r="N47">
        <f>SUM(Table5[[#This Row],[CAUGHT IN]:[Other Accidents]])</f>
        <v>20</v>
      </c>
    </row>
    <row r="48" spans="1:14" x14ac:dyDescent="0.3">
      <c r="A48" t="s">
        <v>5</v>
      </c>
      <c r="B48">
        <v>0</v>
      </c>
      <c r="C48">
        <v>9</v>
      </c>
      <c r="D48">
        <v>4</v>
      </c>
      <c r="E48">
        <v>6</v>
      </c>
      <c r="F48">
        <v>0</v>
      </c>
      <c r="G48">
        <v>0</v>
      </c>
      <c r="H48">
        <v>3</v>
      </c>
      <c r="I48">
        <v>1</v>
      </c>
      <c r="J48">
        <v>2</v>
      </c>
      <c r="K48">
        <v>2</v>
      </c>
      <c r="L48" s="1">
        <v>42432</v>
      </c>
      <c r="M48" t="s">
        <v>24</v>
      </c>
      <c r="N48">
        <f>SUM(Table5[[#This Row],[CAUGHT IN]:[Other Accidents]])</f>
        <v>27</v>
      </c>
    </row>
    <row r="49" spans="1:14" x14ac:dyDescent="0.3">
      <c r="A49" t="s">
        <v>5</v>
      </c>
      <c r="B49">
        <v>0</v>
      </c>
      <c r="C49">
        <v>4</v>
      </c>
      <c r="D49">
        <v>2</v>
      </c>
      <c r="E49">
        <v>4</v>
      </c>
      <c r="F49">
        <v>3</v>
      </c>
      <c r="G49">
        <v>0</v>
      </c>
      <c r="H49">
        <v>2</v>
      </c>
      <c r="I49">
        <v>2</v>
      </c>
      <c r="J49">
        <v>0</v>
      </c>
      <c r="K49">
        <v>5</v>
      </c>
      <c r="L49" s="1">
        <v>42432</v>
      </c>
      <c r="M49" t="s">
        <v>24</v>
      </c>
      <c r="N49">
        <f>SUM(Table5[[#This Row],[CAUGHT IN]:[Other Accidents]])</f>
        <v>22</v>
      </c>
    </row>
    <row r="50" spans="1:14" x14ac:dyDescent="0.3">
      <c r="A50" t="s">
        <v>3</v>
      </c>
      <c r="B50">
        <v>0</v>
      </c>
      <c r="C50">
        <v>41</v>
      </c>
      <c r="D50">
        <v>52</v>
      </c>
      <c r="E50">
        <v>70</v>
      </c>
      <c r="F50">
        <v>19</v>
      </c>
      <c r="G50">
        <v>1</v>
      </c>
      <c r="H50">
        <v>6</v>
      </c>
      <c r="I50">
        <v>3</v>
      </c>
      <c r="J50">
        <v>0</v>
      </c>
      <c r="K50">
        <v>11</v>
      </c>
      <c r="L50" s="1">
        <v>42371</v>
      </c>
      <c r="M50" t="s">
        <v>2</v>
      </c>
      <c r="N50">
        <f>SUM(Table5[[#This Row],[CAUGHT IN]:[Other Accidents]])</f>
        <v>203</v>
      </c>
    </row>
    <row r="51" spans="1:14" x14ac:dyDescent="0.3">
      <c r="A51" t="s">
        <v>3</v>
      </c>
      <c r="B51">
        <v>2</v>
      </c>
      <c r="C51">
        <v>64</v>
      </c>
      <c r="D51">
        <v>39</v>
      </c>
      <c r="E51">
        <v>80</v>
      </c>
      <c r="F51">
        <v>12</v>
      </c>
      <c r="G51">
        <v>1</v>
      </c>
      <c r="H51">
        <v>2</v>
      </c>
      <c r="I51">
        <v>2</v>
      </c>
      <c r="J51">
        <v>1</v>
      </c>
      <c r="K51">
        <v>25</v>
      </c>
      <c r="L51" s="1">
        <v>42432</v>
      </c>
      <c r="M51" t="s">
        <v>24</v>
      </c>
      <c r="N51">
        <f>SUM(Table5[[#This Row],[CAUGHT IN]:[Other Accidents]])</f>
        <v>228</v>
      </c>
    </row>
    <row r="52" spans="1:14" x14ac:dyDescent="0.3">
      <c r="A52" t="s">
        <v>3</v>
      </c>
      <c r="B52">
        <v>1</v>
      </c>
      <c r="C52">
        <v>47</v>
      </c>
      <c r="D52">
        <v>41</v>
      </c>
      <c r="E52">
        <v>59</v>
      </c>
      <c r="F52">
        <v>14</v>
      </c>
      <c r="G52">
        <v>1</v>
      </c>
      <c r="H52">
        <v>3</v>
      </c>
      <c r="I52">
        <v>5</v>
      </c>
      <c r="J52">
        <v>5</v>
      </c>
      <c r="K52">
        <v>17</v>
      </c>
      <c r="L52" s="1">
        <v>42558</v>
      </c>
      <c r="M52" t="s">
        <v>25</v>
      </c>
      <c r="N52">
        <f>SUM(Table5[[#This Row],[CAUGHT IN]:[Other Accidents]])</f>
        <v>193</v>
      </c>
    </row>
    <row r="53" spans="1:14" x14ac:dyDescent="0.3">
      <c r="A53" t="s">
        <v>3</v>
      </c>
      <c r="B53">
        <v>6</v>
      </c>
      <c r="C53">
        <v>75</v>
      </c>
      <c r="D53">
        <v>35</v>
      </c>
      <c r="E53">
        <v>100</v>
      </c>
      <c r="F53">
        <v>32</v>
      </c>
      <c r="G53">
        <v>6</v>
      </c>
      <c r="H53">
        <v>4</v>
      </c>
      <c r="I53">
        <v>7</v>
      </c>
      <c r="J53">
        <v>7</v>
      </c>
      <c r="K53">
        <v>32</v>
      </c>
      <c r="L53" s="1">
        <v>42654</v>
      </c>
      <c r="M53" t="s">
        <v>26</v>
      </c>
      <c r="N53">
        <f>SUM(Table5[[#This Row],[CAUGHT IN]:[Other Accidents]])</f>
        <v>304</v>
      </c>
    </row>
    <row r="54" spans="1:14" x14ac:dyDescent="0.3">
      <c r="A54" t="s">
        <v>3</v>
      </c>
      <c r="B54">
        <v>6</v>
      </c>
      <c r="C54">
        <v>72</v>
      </c>
      <c r="D54">
        <v>43</v>
      </c>
      <c r="E54">
        <v>101</v>
      </c>
      <c r="F54">
        <v>16</v>
      </c>
      <c r="G54">
        <v>5</v>
      </c>
      <c r="H54">
        <v>12</v>
      </c>
      <c r="I54">
        <v>4</v>
      </c>
      <c r="J54">
        <v>2</v>
      </c>
      <c r="K54">
        <v>25</v>
      </c>
      <c r="L54" s="1">
        <v>42371</v>
      </c>
      <c r="M54" t="s">
        <v>2</v>
      </c>
      <c r="N54">
        <f>SUM(Table5[[#This Row],[CAUGHT IN]:[Other Accidents]])</f>
        <v>286</v>
      </c>
    </row>
    <row r="55" spans="1:14" x14ac:dyDescent="0.3">
      <c r="A55" t="s">
        <v>3</v>
      </c>
      <c r="B55">
        <v>3</v>
      </c>
      <c r="C55">
        <v>43</v>
      </c>
      <c r="D55">
        <v>36</v>
      </c>
      <c r="E55">
        <v>54</v>
      </c>
      <c r="F55">
        <v>3</v>
      </c>
      <c r="G55">
        <v>2</v>
      </c>
      <c r="H55">
        <v>3</v>
      </c>
      <c r="I55">
        <v>2</v>
      </c>
      <c r="J55">
        <v>4</v>
      </c>
      <c r="K55">
        <v>17</v>
      </c>
      <c r="L55" s="1">
        <v>42432</v>
      </c>
      <c r="M55" t="s">
        <v>24</v>
      </c>
      <c r="N55">
        <f>SUM(Table5[[#This Row],[CAUGHT IN]:[Other Accidents]])</f>
        <v>167</v>
      </c>
    </row>
    <row r="56" spans="1:14" x14ac:dyDescent="0.3">
      <c r="A56" t="s">
        <v>3</v>
      </c>
      <c r="B56">
        <v>4</v>
      </c>
      <c r="C56">
        <v>44</v>
      </c>
      <c r="D56">
        <v>32</v>
      </c>
      <c r="E56">
        <v>63</v>
      </c>
      <c r="F56">
        <v>10</v>
      </c>
      <c r="G56">
        <v>1</v>
      </c>
      <c r="H56">
        <v>7</v>
      </c>
      <c r="I56">
        <v>4</v>
      </c>
      <c r="J56">
        <v>1</v>
      </c>
      <c r="K56">
        <v>19</v>
      </c>
      <c r="L56" s="1">
        <v>42963</v>
      </c>
      <c r="M56" t="s">
        <v>25</v>
      </c>
      <c r="N56">
        <f>SUM(Table5[[#This Row],[CAUGHT IN]:[Other Accidents]])</f>
        <v>185</v>
      </c>
    </row>
    <row r="57" spans="1:14" x14ac:dyDescent="0.3">
      <c r="A57" t="s">
        <v>3</v>
      </c>
      <c r="B57">
        <v>3</v>
      </c>
      <c r="C57">
        <v>35</v>
      </c>
      <c r="D57">
        <v>41</v>
      </c>
      <c r="E57">
        <v>72</v>
      </c>
      <c r="F57">
        <v>10</v>
      </c>
      <c r="G57">
        <v>1</v>
      </c>
      <c r="H57">
        <v>7</v>
      </c>
      <c r="I57">
        <v>8</v>
      </c>
      <c r="J57">
        <v>1</v>
      </c>
      <c r="K57">
        <v>20</v>
      </c>
      <c r="L57" s="1">
        <v>42963</v>
      </c>
      <c r="M57" t="s">
        <v>26</v>
      </c>
      <c r="N57">
        <f>SUM(Table5[[#This Row],[CAUGHT IN]:[Other Accidents]])</f>
        <v>198</v>
      </c>
    </row>
    <row r="58" spans="1:14" x14ac:dyDescent="0.3">
      <c r="A58" t="s">
        <v>3</v>
      </c>
      <c r="B58">
        <v>0</v>
      </c>
      <c r="C58">
        <v>59</v>
      </c>
      <c r="D58">
        <v>36</v>
      </c>
      <c r="E58">
        <v>64</v>
      </c>
      <c r="F58">
        <v>15</v>
      </c>
      <c r="G58">
        <v>2</v>
      </c>
      <c r="H58">
        <v>4</v>
      </c>
      <c r="I58">
        <v>2</v>
      </c>
      <c r="J58">
        <v>1</v>
      </c>
      <c r="K58">
        <v>21</v>
      </c>
      <c r="L58" s="1">
        <v>42371</v>
      </c>
      <c r="M58" t="s">
        <v>2</v>
      </c>
      <c r="N58">
        <f>SUM(Table5[[#This Row],[CAUGHT IN]:[Other Accidents]])</f>
        <v>204</v>
      </c>
    </row>
    <row r="59" spans="1:14" x14ac:dyDescent="0.3">
      <c r="A59" t="s">
        <v>3</v>
      </c>
      <c r="B59">
        <v>2</v>
      </c>
      <c r="C59">
        <v>40</v>
      </c>
      <c r="D59">
        <v>33</v>
      </c>
      <c r="E59">
        <v>44</v>
      </c>
      <c r="F59">
        <v>12</v>
      </c>
      <c r="G59">
        <v>3</v>
      </c>
      <c r="H59">
        <v>0</v>
      </c>
      <c r="I59">
        <v>3</v>
      </c>
      <c r="J59">
        <v>3</v>
      </c>
      <c r="K59">
        <v>12</v>
      </c>
      <c r="L59" s="1">
        <v>42432</v>
      </c>
      <c r="M59" t="s">
        <v>24</v>
      </c>
      <c r="N59">
        <f>SUM(Table5[[#This Row],[CAUGHT IN]:[Other Accidents]])</f>
        <v>152</v>
      </c>
    </row>
    <row r="60" spans="1:14" x14ac:dyDescent="0.3">
      <c r="A60" t="s">
        <v>3</v>
      </c>
      <c r="B60">
        <v>3</v>
      </c>
      <c r="C60">
        <v>21</v>
      </c>
      <c r="D60">
        <v>34</v>
      </c>
      <c r="E60">
        <v>66</v>
      </c>
      <c r="F60">
        <v>22</v>
      </c>
      <c r="G60">
        <v>1</v>
      </c>
      <c r="H60">
        <v>2</v>
      </c>
      <c r="I60">
        <v>0</v>
      </c>
      <c r="J60">
        <v>1</v>
      </c>
      <c r="K60">
        <v>23</v>
      </c>
      <c r="L60" s="1">
        <v>42432</v>
      </c>
      <c r="M60" t="s">
        <v>24</v>
      </c>
      <c r="N60">
        <f>SUM(Table5[[#This Row],[CAUGHT IN]:[Other Accidents]])</f>
        <v>173</v>
      </c>
    </row>
    <row r="61" spans="1:14" x14ac:dyDescent="0.3">
      <c r="A61" t="s">
        <v>3</v>
      </c>
      <c r="B61">
        <v>0</v>
      </c>
      <c r="C61">
        <v>40</v>
      </c>
      <c r="D61">
        <v>23</v>
      </c>
      <c r="E61">
        <v>75</v>
      </c>
      <c r="F61">
        <v>14</v>
      </c>
      <c r="G61">
        <v>2</v>
      </c>
      <c r="H61">
        <v>3</v>
      </c>
      <c r="I61">
        <v>2</v>
      </c>
      <c r="J61">
        <v>2</v>
      </c>
      <c r="K61">
        <v>15</v>
      </c>
      <c r="L61" s="1">
        <v>42432</v>
      </c>
      <c r="M61" t="s">
        <v>24</v>
      </c>
      <c r="N61">
        <f>SUM(Table5[[#This Row],[CAUGHT IN]:[Other Accidents]])</f>
        <v>176</v>
      </c>
    </row>
    <row r="62" spans="1:14" x14ac:dyDescent="0.3">
      <c r="A62" t="s">
        <v>10</v>
      </c>
      <c r="B62">
        <v>4</v>
      </c>
      <c r="C62">
        <v>84</v>
      </c>
      <c r="D62">
        <v>43</v>
      </c>
      <c r="E62">
        <v>131</v>
      </c>
      <c r="F62">
        <v>37</v>
      </c>
      <c r="G62">
        <v>10</v>
      </c>
      <c r="H62">
        <v>43</v>
      </c>
      <c r="I62">
        <v>16</v>
      </c>
      <c r="J62">
        <v>5</v>
      </c>
      <c r="K62">
        <v>23</v>
      </c>
      <c r="L62" s="1">
        <v>42371</v>
      </c>
      <c r="M62" t="s">
        <v>2</v>
      </c>
      <c r="N62">
        <f>SUM(Table5[[#This Row],[CAUGHT IN]:[Other Accidents]])</f>
        <v>396</v>
      </c>
    </row>
    <row r="63" spans="1:14" x14ac:dyDescent="0.3">
      <c r="A63" t="s">
        <v>10</v>
      </c>
      <c r="B63">
        <v>4</v>
      </c>
      <c r="C63">
        <v>65</v>
      </c>
      <c r="D63">
        <v>42</v>
      </c>
      <c r="E63">
        <v>107</v>
      </c>
      <c r="F63">
        <v>25</v>
      </c>
      <c r="G63">
        <v>6</v>
      </c>
      <c r="H63">
        <v>26</v>
      </c>
      <c r="I63">
        <v>7</v>
      </c>
      <c r="J63">
        <v>4</v>
      </c>
      <c r="K63">
        <v>22</v>
      </c>
      <c r="L63" s="1">
        <v>42432</v>
      </c>
      <c r="M63" t="s">
        <v>24</v>
      </c>
      <c r="N63">
        <f>SUM(Table5[[#This Row],[CAUGHT IN]:[Other Accidents]])</f>
        <v>308</v>
      </c>
    </row>
    <row r="64" spans="1:14" x14ac:dyDescent="0.3">
      <c r="A64" t="s">
        <v>10</v>
      </c>
      <c r="B64">
        <v>2</v>
      </c>
      <c r="C64">
        <v>40</v>
      </c>
      <c r="D64">
        <v>42</v>
      </c>
      <c r="E64">
        <v>64</v>
      </c>
      <c r="F64">
        <v>10</v>
      </c>
      <c r="G64">
        <v>4</v>
      </c>
      <c r="H64">
        <v>21</v>
      </c>
      <c r="I64">
        <v>5</v>
      </c>
      <c r="J64">
        <v>5</v>
      </c>
      <c r="K64">
        <v>20</v>
      </c>
      <c r="L64" s="1">
        <v>42558</v>
      </c>
      <c r="M64" t="s">
        <v>25</v>
      </c>
      <c r="N64">
        <f>SUM(Table5[[#This Row],[CAUGHT IN]:[Other Accidents]])</f>
        <v>213</v>
      </c>
    </row>
    <row r="65" spans="1:14" x14ac:dyDescent="0.3">
      <c r="A65" t="s">
        <v>10</v>
      </c>
      <c r="B65">
        <v>1</v>
      </c>
      <c r="C65">
        <v>48</v>
      </c>
      <c r="D65">
        <v>32</v>
      </c>
      <c r="E65">
        <v>82</v>
      </c>
      <c r="F65">
        <v>7</v>
      </c>
      <c r="G65">
        <v>4</v>
      </c>
      <c r="H65">
        <v>15</v>
      </c>
      <c r="I65">
        <v>7</v>
      </c>
      <c r="J65">
        <v>0</v>
      </c>
      <c r="K65">
        <v>17</v>
      </c>
      <c r="L65" s="1">
        <v>42654</v>
      </c>
      <c r="M65" t="s">
        <v>26</v>
      </c>
      <c r="N65">
        <f>SUM(Table5[[#This Row],[CAUGHT IN]:[Other Accidents]])</f>
        <v>213</v>
      </c>
    </row>
    <row r="66" spans="1:14" x14ac:dyDescent="0.3">
      <c r="A66" t="s">
        <v>10</v>
      </c>
      <c r="B66">
        <v>2</v>
      </c>
      <c r="C66">
        <v>45</v>
      </c>
      <c r="D66">
        <v>37</v>
      </c>
      <c r="E66">
        <v>72</v>
      </c>
      <c r="F66">
        <v>25</v>
      </c>
      <c r="G66">
        <v>4</v>
      </c>
      <c r="H66">
        <v>23</v>
      </c>
      <c r="I66">
        <v>10</v>
      </c>
      <c r="J66">
        <v>2</v>
      </c>
      <c r="K66">
        <v>23</v>
      </c>
      <c r="L66" s="1">
        <v>42371</v>
      </c>
      <c r="M66" t="s">
        <v>2</v>
      </c>
      <c r="N66">
        <f>SUM(Table5[[#This Row],[CAUGHT IN]:[Other Accidents]])</f>
        <v>243</v>
      </c>
    </row>
    <row r="67" spans="1:14" x14ac:dyDescent="0.3">
      <c r="A67" t="s">
        <v>10</v>
      </c>
      <c r="B67">
        <v>0</v>
      </c>
      <c r="C67">
        <v>26</v>
      </c>
      <c r="D67">
        <v>29</v>
      </c>
      <c r="E67">
        <v>54</v>
      </c>
      <c r="F67">
        <v>5</v>
      </c>
      <c r="G67">
        <v>0</v>
      </c>
      <c r="H67">
        <v>7</v>
      </c>
      <c r="I67">
        <v>7</v>
      </c>
      <c r="J67">
        <v>0</v>
      </c>
      <c r="K67">
        <v>11</v>
      </c>
      <c r="L67" s="1">
        <v>42432</v>
      </c>
      <c r="M67" t="s">
        <v>24</v>
      </c>
      <c r="N67">
        <f>SUM(Table5[[#This Row],[CAUGHT IN]:[Other Accidents]])</f>
        <v>139</v>
      </c>
    </row>
    <row r="68" spans="1:14" x14ac:dyDescent="0.3">
      <c r="A68" t="s">
        <v>10</v>
      </c>
      <c r="B68">
        <v>1</v>
      </c>
      <c r="C68">
        <v>27</v>
      </c>
      <c r="D68">
        <v>18</v>
      </c>
      <c r="E68">
        <v>49</v>
      </c>
      <c r="F68">
        <v>0</v>
      </c>
      <c r="G68">
        <v>4</v>
      </c>
      <c r="H68">
        <v>8</v>
      </c>
      <c r="I68">
        <v>5</v>
      </c>
      <c r="J68">
        <v>1</v>
      </c>
      <c r="K68">
        <v>12</v>
      </c>
      <c r="L68" s="1">
        <v>42970</v>
      </c>
      <c r="M68" t="s">
        <v>25</v>
      </c>
      <c r="N68">
        <f>SUM(Table5[[#This Row],[CAUGHT IN]:[Other Accidents]])</f>
        <v>125</v>
      </c>
    </row>
    <row r="69" spans="1:14" x14ac:dyDescent="0.3">
      <c r="A69" t="s">
        <v>10</v>
      </c>
      <c r="B69">
        <v>0</v>
      </c>
      <c r="C69">
        <v>23</v>
      </c>
      <c r="D69">
        <v>16</v>
      </c>
      <c r="E69">
        <v>49</v>
      </c>
      <c r="F69">
        <v>5</v>
      </c>
      <c r="G69">
        <v>4</v>
      </c>
      <c r="H69">
        <v>7</v>
      </c>
      <c r="I69">
        <v>1</v>
      </c>
      <c r="J69">
        <v>1</v>
      </c>
      <c r="K69">
        <v>12</v>
      </c>
      <c r="L69" s="1">
        <v>42970</v>
      </c>
      <c r="M69" t="s">
        <v>26</v>
      </c>
      <c r="N69">
        <f>SUM(Table5[[#This Row],[CAUGHT IN]:[Other Accidents]])</f>
        <v>118</v>
      </c>
    </row>
    <row r="70" spans="1:14" x14ac:dyDescent="0.3">
      <c r="A70" t="s">
        <v>10</v>
      </c>
      <c r="B70">
        <v>1</v>
      </c>
      <c r="C70">
        <v>27</v>
      </c>
      <c r="D70">
        <v>25</v>
      </c>
      <c r="E70">
        <v>45</v>
      </c>
      <c r="F70">
        <v>14</v>
      </c>
      <c r="G70">
        <v>2</v>
      </c>
      <c r="H70">
        <v>6</v>
      </c>
      <c r="I70">
        <v>3</v>
      </c>
      <c r="J70">
        <v>0</v>
      </c>
      <c r="K70">
        <v>12</v>
      </c>
      <c r="L70" s="1">
        <v>42371</v>
      </c>
      <c r="M70" t="s">
        <v>2</v>
      </c>
      <c r="N70">
        <f>SUM(Table5[[#This Row],[CAUGHT IN]:[Other Accidents]])</f>
        <v>135</v>
      </c>
    </row>
    <row r="71" spans="1:14" x14ac:dyDescent="0.3">
      <c r="A71" t="s">
        <v>10</v>
      </c>
      <c r="B71">
        <v>0</v>
      </c>
      <c r="C71">
        <v>31</v>
      </c>
      <c r="D71">
        <v>25</v>
      </c>
      <c r="E71">
        <v>44</v>
      </c>
      <c r="F71">
        <v>2</v>
      </c>
      <c r="G71">
        <v>1</v>
      </c>
      <c r="H71">
        <v>7</v>
      </c>
      <c r="I71">
        <v>0</v>
      </c>
      <c r="J71">
        <v>0</v>
      </c>
      <c r="K71">
        <v>16</v>
      </c>
      <c r="L71" s="1">
        <v>42432</v>
      </c>
      <c r="M71" t="s">
        <v>24</v>
      </c>
      <c r="N71">
        <f>SUM(Table5[[#This Row],[CAUGHT IN]:[Other Accidents]])</f>
        <v>126</v>
      </c>
    </row>
    <row r="72" spans="1:14" x14ac:dyDescent="0.3">
      <c r="A72" t="s">
        <v>10</v>
      </c>
      <c r="B72">
        <v>2</v>
      </c>
      <c r="C72">
        <v>17</v>
      </c>
      <c r="D72">
        <v>21</v>
      </c>
      <c r="E72">
        <v>42</v>
      </c>
      <c r="F72">
        <v>1</v>
      </c>
      <c r="G72">
        <v>5</v>
      </c>
      <c r="H72">
        <v>13</v>
      </c>
      <c r="I72">
        <v>7</v>
      </c>
      <c r="J72">
        <v>0</v>
      </c>
      <c r="K72">
        <v>11</v>
      </c>
      <c r="L72" s="1">
        <v>42432</v>
      </c>
      <c r="M72" t="s">
        <v>24</v>
      </c>
      <c r="N72">
        <f>SUM(Table5[[#This Row],[CAUGHT IN]:[Other Accidents]])</f>
        <v>119</v>
      </c>
    </row>
    <row r="73" spans="1:14" x14ac:dyDescent="0.3">
      <c r="A73" t="s">
        <v>10</v>
      </c>
      <c r="B73">
        <v>0</v>
      </c>
      <c r="C73">
        <v>29</v>
      </c>
      <c r="D73">
        <v>23</v>
      </c>
      <c r="E73">
        <v>51</v>
      </c>
      <c r="F73">
        <v>8</v>
      </c>
      <c r="G73">
        <v>2</v>
      </c>
      <c r="H73">
        <v>6</v>
      </c>
      <c r="I73">
        <v>1</v>
      </c>
      <c r="J73">
        <v>0</v>
      </c>
      <c r="K73">
        <v>21</v>
      </c>
      <c r="L73" s="1">
        <v>42432</v>
      </c>
      <c r="M73" t="s">
        <v>24</v>
      </c>
      <c r="N73">
        <f>SUM(Table5[[#This Row],[CAUGHT IN]:[Other Accidents]])</f>
        <v>141</v>
      </c>
    </row>
    <row r="74" spans="1:14" x14ac:dyDescent="0.3">
      <c r="A74" t="s">
        <v>18</v>
      </c>
      <c r="B74">
        <v>7</v>
      </c>
      <c r="C74">
        <v>142</v>
      </c>
      <c r="D74">
        <v>107</v>
      </c>
      <c r="E74">
        <v>242</v>
      </c>
      <c r="F74">
        <v>107</v>
      </c>
      <c r="G74">
        <v>4</v>
      </c>
      <c r="H74">
        <v>25</v>
      </c>
      <c r="I74">
        <v>5</v>
      </c>
      <c r="J74">
        <v>12</v>
      </c>
      <c r="K74">
        <v>84</v>
      </c>
      <c r="L74" s="1">
        <v>42371</v>
      </c>
      <c r="M74" t="s">
        <v>2</v>
      </c>
      <c r="N74">
        <f>SUM(Table5[[#This Row],[CAUGHT IN]:[Other Accidents]])</f>
        <v>735</v>
      </c>
    </row>
    <row r="75" spans="1:14" x14ac:dyDescent="0.3">
      <c r="A75" t="s">
        <v>18</v>
      </c>
      <c r="B75">
        <v>7</v>
      </c>
      <c r="C75">
        <v>161</v>
      </c>
      <c r="D75">
        <v>97</v>
      </c>
      <c r="E75">
        <v>260</v>
      </c>
      <c r="F75">
        <v>116</v>
      </c>
      <c r="G75">
        <v>2</v>
      </c>
      <c r="H75">
        <v>21</v>
      </c>
      <c r="I75">
        <v>12</v>
      </c>
      <c r="J75">
        <v>7</v>
      </c>
      <c r="K75">
        <v>94</v>
      </c>
      <c r="L75" s="1">
        <v>42432</v>
      </c>
      <c r="M75" t="s">
        <v>24</v>
      </c>
      <c r="N75">
        <f>SUM(Table5[[#This Row],[CAUGHT IN]:[Other Accidents]])</f>
        <v>777</v>
      </c>
    </row>
    <row r="76" spans="1:14" x14ac:dyDescent="0.3">
      <c r="A76" t="s">
        <v>18</v>
      </c>
      <c r="B76">
        <v>5</v>
      </c>
      <c r="C76">
        <v>119</v>
      </c>
      <c r="D76">
        <v>90</v>
      </c>
      <c r="E76">
        <v>211</v>
      </c>
      <c r="F76">
        <v>93</v>
      </c>
      <c r="G76">
        <v>1</v>
      </c>
      <c r="H76">
        <v>8</v>
      </c>
      <c r="I76">
        <v>6</v>
      </c>
      <c r="J76">
        <v>6</v>
      </c>
      <c r="K76">
        <v>76</v>
      </c>
      <c r="L76" s="1">
        <v>42558</v>
      </c>
      <c r="M76" t="s">
        <v>25</v>
      </c>
      <c r="N76">
        <f>SUM(Table5[[#This Row],[CAUGHT IN]:[Other Accidents]])</f>
        <v>615</v>
      </c>
    </row>
    <row r="77" spans="1:14" x14ac:dyDescent="0.3">
      <c r="A77" t="s">
        <v>18</v>
      </c>
      <c r="B77">
        <v>9</v>
      </c>
      <c r="C77">
        <v>131</v>
      </c>
      <c r="D77">
        <v>85</v>
      </c>
      <c r="E77">
        <v>227</v>
      </c>
      <c r="F77">
        <v>109</v>
      </c>
      <c r="G77">
        <v>3</v>
      </c>
      <c r="H77">
        <v>17</v>
      </c>
      <c r="I77">
        <v>7</v>
      </c>
      <c r="J77">
        <v>3</v>
      </c>
      <c r="K77">
        <v>88</v>
      </c>
      <c r="L77" s="1">
        <v>42654</v>
      </c>
      <c r="M77" t="s">
        <v>26</v>
      </c>
      <c r="N77">
        <f>SUM(Table5[[#This Row],[CAUGHT IN]:[Other Accidents]])</f>
        <v>679</v>
      </c>
    </row>
    <row r="78" spans="1:14" x14ac:dyDescent="0.3">
      <c r="A78" t="s">
        <v>18</v>
      </c>
      <c r="B78">
        <v>5</v>
      </c>
      <c r="C78">
        <v>129</v>
      </c>
      <c r="D78">
        <v>81</v>
      </c>
      <c r="E78">
        <v>238</v>
      </c>
      <c r="F78">
        <v>93</v>
      </c>
      <c r="G78">
        <v>3</v>
      </c>
      <c r="H78">
        <v>23</v>
      </c>
      <c r="I78">
        <v>8</v>
      </c>
      <c r="J78">
        <v>7</v>
      </c>
      <c r="K78">
        <v>72</v>
      </c>
      <c r="L78" s="1">
        <v>42371</v>
      </c>
      <c r="M78" t="s">
        <v>2</v>
      </c>
      <c r="N78">
        <f>SUM(Table5[[#This Row],[CAUGHT IN]:[Other Accidents]])</f>
        <v>659</v>
      </c>
    </row>
    <row r="79" spans="1:14" x14ac:dyDescent="0.3">
      <c r="A79" t="s">
        <v>18</v>
      </c>
      <c r="B79">
        <v>4</v>
      </c>
      <c r="C79">
        <v>82</v>
      </c>
      <c r="D79">
        <v>61</v>
      </c>
      <c r="E79">
        <v>141</v>
      </c>
      <c r="F79">
        <v>55</v>
      </c>
      <c r="G79">
        <v>5</v>
      </c>
      <c r="H79">
        <v>13</v>
      </c>
      <c r="I79">
        <v>10</v>
      </c>
      <c r="J79">
        <v>6</v>
      </c>
      <c r="K79">
        <v>49</v>
      </c>
      <c r="L79" s="1">
        <v>42432</v>
      </c>
      <c r="M79" t="s">
        <v>24</v>
      </c>
      <c r="N79">
        <f>SUM(Table5[[#This Row],[CAUGHT IN]:[Other Accidents]])</f>
        <v>426</v>
      </c>
    </row>
    <row r="80" spans="1:14" x14ac:dyDescent="0.3">
      <c r="A80" t="s">
        <v>18</v>
      </c>
      <c r="B80">
        <v>10</v>
      </c>
      <c r="C80">
        <v>74</v>
      </c>
      <c r="D80">
        <v>52</v>
      </c>
      <c r="E80">
        <v>126</v>
      </c>
      <c r="F80">
        <v>29</v>
      </c>
      <c r="G80">
        <v>1</v>
      </c>
      <c r="H80">
        <v>8</v>
      </c>
      <c r="I80">
        <v>10</v>
      </c>
      <c r="J80">
        <v>6</v>
      </c>
      <c r="K80">
        <v>44</v>
      </c>
      <c r="L80" s="1">
        <v>42977</v>
      </c>
      <c r="M80" t="s">
        <v>25</v>
      </c>
      <c r="N80">
        <f>SUM(Table5[[#This Row],[CAUGHT IN]:[Other Accidents]])</f>
        <v>360</v>
      </c>
    </row>
    <row r="81" spans="1:14" x14ac:dyDescent="0.3">
      <c r="A81" t="s">
        <v>18</v>
      </c>
      <c r="B81">
        <v>10</v>
      </c>
      <c r="C81">
        <v>86</v>
      </c>
      <c r="D81">
        <v>74</v>
      </c>
      <c r="E81">
        <v>188</v>
      </c>
      <c r="F81">
        <v>49</v>
      </c>
      <c r="G81">
        <v>3</v>
      </c>
      <c r="H81">
        <v>16</v>
      </c>
      <c r="I81">
        <v>8</v>
      </c>
      <c r="J81">
        <v>2</v>
      </c>
      <c r="K81">
        <v>50</v>
      </c>
      <c r="L81" s="1">
        <v>42978</v>
      </c>
      <c r="M81" t="s">
        <v>26</v>
      </c>
      <c r="N81">
        <f>SUM(Table5[[#This Row],[CAUGHT IN]:[Other Accidents]])</f>
        <v>486</v>
      </c>
    </row>
    <row r="82" spans="1:14" x14ac:dyDescent="0.3">
      <c r="A82" t="s">
        <v>18</v>
      </c>
      <c r="B82">
        <v>6</v>
      </c>
      <c r="C82">
        <v>79</v>
      </c>
      <c r="D82">
        <v>63</v>
      </c>
      <c r="E82">
        <v>125</v>
      </c>
      <c r="F82">
        <v>21</v>
      </c>
      <c r="G82">
        <v>1</v>
      </c>
      <c r="H82">
        <v>10</v>
      </c>
      <c r="I82">
        <v>6</v>
      </c>
      <c r="J82">
        <v>4</v>
      </c>
      <c r="K82">
        <v>55</v>
      </c>
      <c r="L82" s="1">
        <v>42371</v>
      </c>
      <c r="M82" t="s">
        <v>2</v>
      </c>
      <c r="N82">
        <f>SUM(Table5[[#This Row],[CAUGHT IN]:[Other Accidents]])</f>
        <v>370</v>
      </c>
    </row>
    <row r="83" spans="1:14" x14ac:dyDescent="0.3">
      <c r="A83" t="s">
        <v>18</v>
      </c>
      <c r="B83">
        <v>4</v>
      </c>
      <c r="C83">
        <v>59</v>
      </c>
      <c r="D83">
        <v>49</v>
      </c>
      <c r="E83">
        <v>101</v>
      </c>
      <c r="F83">
        <v>17</v>
      </c>
      <c r="G83">
        <v>1</v>
      </c>
      <c r="H83">
        <v>9</v>
      </c>
      <c r="I83">
        <v>7</v>
      </c>
      <c r="J83">
        <v>4</v>
      </c>
      <c r="K83">
        <v>48</v>
      </c>
      <c r="L83" s="1">
        <v>42432</v>
      </c>
      <c r="M83" t="s">
        <v>24</v>
      </c>
      <c r="N83">
        <f>SUM(Table5[[#This Row],[CAUGHT IN]:[Other Accidents]])</f>
        <v>299</v>
      </c>
    </row>
    <row r="84" spans="1:14" x14ac:dyDescent="0.3">
      <c r="A84" t="s">
        <v>18</v>
      </c>
      <c r="B84">
        <v>7</v>
      </c>
      <c r="C84">
        <v>75</v>
      </c>
      <c r="D84">
        <v>56</v>
      </c>
      <c r="E84">
        <v>123</v>
      </c>
      <c r="F84">
        <v>16</v>
      </c>
      <c r="G84">
        <v>2</v>
      </c>
      <c r="H84">
        <v>4</v>
      </c>
      <c r="I84">
        <v>5</v>
      </c>
      <c r="J84">
        <v>3</v>
      </c>
      <c r="K84">
        <v>47</v>
      </c>
      <c r="L84" s="1">
        <v>42432</v>
      </c>
      <c r="M84" t="s">
        <v>24</v>
      </c>
      <c r="N84">
        <f>SUM(Table5[[#This Row],[CAUGHT IN]:[Other Accidents]])</f>
        <v>338</v>
      </c>
    </row>
    <row r="85" spans="1:14" x14ac:dyDescent="0.3">
      <c r="A85" t="s">
        <v>18</v>
      </c>
      <c r="B85">
        <v>5</v>
      </c>
      <c r="C85">
        <v>49</v>
      </c>
      <c r="D85">
        <v>50</v>
      </c>
      <c r="E85">
        <v>121</v>
      </c>
      <c r="F85">
        <v>36</v>
      </c>
      <c r="G85">
        <v>0</v>
      </c>
      <c r="H85">
        <v>3</v>
      </c>
      <c r="I85">
        <v>7</v>
      </c>
      <c r="J85">
        <v>4</v>
      </c>
      <c r="K85">
        <v>65</v>
      </c>
      <c r="L85" s="1">
        <v>42432</v>
      </c>
      <c r="M85" t="s">
        <v>24</v>
      </c>
      <c r="N85">
        <f>SUM(Table5[[#This Row],[CAUGHT IN]:[Other Accidents]])</f>
        <v>340</v>
      </c>
    </row>
    <row r="86" spans="1:14" x14ac:dyDescent="0.3">
      <c r="A86" t="s">
        <v>22</v>
      </c>
      <c r="B86">
        <v>0</v>
      </c>
      <c r="C86">
        <v>0</v>
      </c>
      <c r="D86">
        <v>2</v>
      </c>
      <c r="E86">
        <v>6</v>
      </c>
      <c r="F86">
        <v>3</v>
      </c>
      <c r="G86">
        <v>0</v>
      </c>
      <c r="H86">
        <v>1</v>
      </c>
      <c r="I86">
        <v>0</v>
      </c>
      <c r="J86">
        <v>0</v>
      </c>
      <c r="K86">
        <v>1</v>
      </c>
      <c r="L86" s="1">
        <v>42371</v>
      </c>
      <c r="M86" t="s">
        <v>2</v>
      </c>
      <c r="N86">
        <f>SUM(Table5[[#This Row],[CAUGHT IN]:[Other Accidents]])</f>
        <v>13</v>
      </c>
    </row>
    <row r="87" spans="1:14" x14ac:dyDescent="0.3">
      <c r="A87" t="s">
        <v>22</v>
      </c>
      <c r="B87">
        <v>0</v>
      </c>
      <c r="C87">
        <v>1</v>
      </c>
      <c r="D87">
        <v>0</v>
      </c>
      <c r="E87">
        <v>6</v>
      </c>
      <c r="F87">
        <v>5</v>
      </c>
      <c r="G87">
        <v>0</v>
      </c>
      <c r="H87">
        <v>0</v>
      </c>
      <c r="I87">
        <v>0</v>
      </c>
      <c r="J87">
        <v>1</v>
      </c>
      <c r="K87">
        <v>0</v>
      </c>
      <c r="L87" s="1">
        <v>42432</v>
      </c>
      <c r="M87" t="s">
        <v>24</v>
      </c>
      <c r="N87">
        <f>SUM(Table5[[#This Row],[CAUGHT IN]:[Other Accidents]])</f>
        <v>13</v>
      </c>
    </row>
    <row r="88" spans="1:14" x14ac:dyDescent="0.3">
      <c r="A88" t="s">
        <v>22</v>
      </c>
      <c r="B88">
        <v>1</v>
      </c>
      <c r="C88">
        <v>0</v>
      </c>
      <c r="D88">
        <v>1</v>
      </c>
      <c r="E88">
        <v>5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42558</v>
      </c>
      <c r="M88" t="s">
        <v>25</v>
      </c>
      <c r="N88">
        <f>SUM(Table5[[#This Row],[CAUGHT IN]:[Other Accidents]])</f>
        <v>10</v>
      </c>
    </row>
    <row r="89" spans="1:14" x14ac:dyDescent="0.3">
      <c r="A89" t="s">
        <v>22</v>
      </c>
      <c r="B89">
        <v>0</v>
      </c>
      <c r="C89">
        <v>2</v>
      </c>
      <c r="D89">
        <v>1</v>
      </c>
      <c r="E89">
        <v>8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 s="1">
        <v>42654</v>
      </c>
      <c r="M89" t="s">
        <v>26</v>
      </c>
      <c r="N89">
        <f>SUM(Table5[[#This Row],[CAUGHT IN]:[Other Accidents]])</f>
        <v>14</v>
      </c>
    </row>
    <row r="90" spans="1:14" x14ac:dyDescent="0.3">
      <c r="A90" t="s">
        <v>22</v>
      </c>
      <c r="B90">
        <v>0</v>
      </c>
      <c r="C90">
        <v>2</v>
      </c>
      <c r="D90">
        <v>1</v>
      </c>
      <c r="E90">
        <v>3</v>
      </c>
      <c r="F90">
        <v>7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42371</v>
      </c>
      <c r="M90" t="s">
        <v>2</v>
      </c>
      <c r="N90">
        <f>SUM(Table5[[#This Row],[CAUGHT IN]:[Other Accidents]])</f>
        <v>13</v>
      </c>
    </row>
    <row r="91" spans="1:14" x14ac:dyDescent="0.3">
      <c r="A91" t="s">
        <v>22</v>
      </c>
      <c r="B91">
        <v>0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 s="1">
        <v>42432</v>
      </c>
      <c r="M91" t="s">
        <v>24</v>
      </c>
      <c r="N91">
        <f>SUM(Table5[[#This Row],[CAUGHT IN]:[Other Accidents]])</f>
        <v>3</v>
      </c>
    </row>
    <row r="92" spans="1:14" x14ac:dyDescent="0.3">
      <c r="A92" t="s">
        <v>22</v>
      </c>
      <c r="B92">
        <v>0</v>
      </c>
      <c r="C92">
        <v>2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42981</v>
      </c>
      <c r="M92" t="s">
        <v>25</v>
      </c>
      <c r="N92">
        <f>SUM(Table5[[#This Row],[CAUGHT IN]:[Other Accidents]])</f>
        <v>3</v>
      </c>
    </row>
    <row r="93" spans="1:14" x14ac:dyDescent="0.3">
      <c r="A93" t="s">
        <v>22</v>
      </c>
      <c r="B93">
        <v>0</v>
      </c>
      <c r="C93">
        <v>1</v>
      </c>
      <c r="D93">
        <v>2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42982</v>
      </c>
      <c r="M93" t="s">
        <v>26</v>
      </c>
      <c r="N93">
        <f>SUM(Table5[[#This Row],[CAUGHT IN]:[Other Accidents]])</f>
        <v>4</v>
      </c>
    </row>
    <row r="94" spans="1:14" x14ac:dyDescent="0.3">
      <c r="A94" t="s">
        <v>22</v>
      </c>
      <c r="B94">
        <v>0</v>
      </c>
      <c r="C94">
        <v>1</v>
      </c>
      <c r="D94">
        <v>1</v>
      </c>
      <c r="E94">
        <v>3</v>
      </c>
      <c r="F94">
        <v>4</v>
      </c>
      <c r="G94">
        <v>0</v>
      </c>
      <c r="H94">
        <v>0</v>
      </c>
      <c r="I94">
        <v>0</v>
      </c>
      <c r="J94">
        <v>0</v>
      </c>
      <c r="K94">
        <v>3</v>
      </c>
      <c r="L94" s="1">
        <v>42371</v>
      </c>
      <c r="M94" t="s">
        <v>2</v>
      </c>
      <c r="N94">
        <f>SUM(Table5[[#This Row],[CAUGHT IN]:[Other Accidents]])</f>
        <v>12</v>
      </c>
    </row>
    <row r="95" spans="1:14" x14ac:dyDescent="0.3">
      <c r="A95" t="s">
        <v>22</v>
      </c>
      <c r="B95">
        <v>0</v>
      </c>
      <c r="C95">
        <v>0</v>
      </c>
      <c r="D95">
        <v>0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2</v>
      </c>
      <c r="L95" s="1">
        <v>42432</v>
      </c>
      <c r="M95" t="s">
        <v>24</v>
      </c>
      <c r="N95">
        <f>SUM(Table5[[#This Row],[CAUGHT IN]:[Other Accidents]])</f>
        <v>4</v>
      </c>
    </row>
    <row r="96" spans="1:14" x14ac:dyDescent="0.3">
      <c r="A96" t="s">
        <v>22</v>
      </c>
      <c r="B96">
        <v>0</v>
      </c>
      <c r="C96">
        <v>1</v>
      </c>
      <c r="D96">
        <v>1</v>
      </c>
      <c r="E96">
        <v>5</v>
      </c>
      <c r="F96">
        <v>4</v>
      </c>
      <c r="G96">
        <v>0</v>
      </c>
      <c r="H96">
        <v>0</v>
      </c>
      <c r="I96">
        <v>1</v>
      </c>
      <c r="J96">
        <v>0</v>
      </c>
      <c r="K96">
        <v>2</v>
      </c>
      <c r="L96" s="1">
        <v>42432</v>
      </c>
      <c r="M96" t="s">
        <v>24</v>
      </c>
      <c r="N96">
        <f>SUM(Table5[[#This Row],[CAUGHT IN]:[Other Accidents]])</f>
        <v>14</v>
      </c>
    </row>
    <row r="97" spans="1:14" x14ac:dyDescent="0.3">
      <c r="A97" t="s">
        <v>22</v>
      </c>
      <c r="B97">
        <v>1</v>
      </c>
      <c r="C97">
        <v>2</v>
      </c>
      <c r="D97">
        <v>3</v>
      </c>
      <c r="E97">
        <v>5</v>
      </c>
      <c r="F97">
        <v>7</v>
      </c>
      <c r="G97">
        <v>0</v>
      </c>
      <c r="H97">
        <v>0</v>
      </c>
      <c r="I97">
        <v>0</v>
      </c>
      <c r="J97">
        <v>0</v>
      </c>
      <c r="K97">
        <v>4</v>
      </c>
      <c r="L97" s="1">
        <v>42432</v>
      </c>
      <c r="M97" t="s">
        <v>24</v>
      </c>
      <c r="N97">
        <f>SUM(Table5[[#This Row],[CAUGHT IN]:[Other Accidents]])</f>
        <v>22</v>
      </c>
    </row>
    <row r="98" spans="1:14" x14ac:dyDescent="0.3">
      <c r="A98" t="s">
        <v>23</v>
      </c>
      <c r="B98">
        <v>0</v>
      </c>
      <c r="C98">
        <v>0</v>
      </c>
      <c r="D98">
        <v>1</v>
      </c>
      <c r="E98">
        <v>1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42371</v>
      </c>
      <c r="M98" t="s">
        <v>2</v>
      </c>
      <c r="N98">
        <f>SUM(Table5[[#This Row],[CAUGHT IN]:[Other Accidents]])</f>
        <v>4</v>
      </c>
    </row>
    <row r="99" spans="1:14" x14ac:dyDescent="0.3">
      <c r="A99" t="s">
        <v>23</v>
      </c>
      <c r="B99">
        <v>0</v>
      </c>
      <c r="C99">
        <v>2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 s="1">
        <v>42432</v>
      </c>
      <c r="M99" t="s">
        <v>24</v>
      </c>
      <c r="N99">
        <f>SUM(Table5[[#This Row],[CAUGHT IN]:[Other Accidents]])</f>
        <v>5</v>
      </c>
    </row>
    <row r="100" spans="1:14" x14ac:dyDescent="0.3">
      <c r="A100" t="s">
        <v>23</v>
      </c>
      <c r="B100">
        <v>0</v>
      </c>
      <c r="C100">
        <v>1</v>
      </c>
      <c r="D100">
        <v>0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 s="1">
        <v>42558</v>
      </c>
      <c r="M100" t="s">
        <v>25</v>
      </c>
      <c r="N100">
        <f>SUM(Table5[[#This Row],[CAUGHT IN]:[Other Accidents]])</f>
        <v>3</v>
      </c>
    </row>
    <row r="101" spans="1:14" x14ac:dyDescent="0.3">
      <c r="A101" t="s">
        <v>23</v>
      </c>
      <c r="B101">
        <v>0</v>
      </c>
      <c r="C101">
        <v>0</v>
      </c>
      <c r="D101">
        <v>1</v>
      </c>
      <c r="E101">
        <v>1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 s="1">
        <v>42654</v>
      </c>
      <c r="M101" t="s">
        <v>26</v>
      </c>
      <c r="N101">
        <f>SUM(Table5[[#This Row],[CAUGHT IN]:[Other Accidents]])</f>
        <v>5</v>
      </c>
    </row>
    <row r="102" spans="1:14" x14ac:dyDescent="0.3">
      <c r="A102" t="s">
        <v>23</v>
      </c>
      <c r="B102">
        <v>0</v>
      </c>
      <c r="C102">
        <v>0</v>
      </c>
      <c r="D102">
        <v>0</v>
      </c>
      <c r="E102">
        <v>1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v>42432</v>
      </c>
      <c r="M102" t="s">
        <v>24</v>
      </c>
      <c r="N102">
        <f>SUM(Table5[[#This Row],[CAUGHT IN]:[Other Accidents]])</f>
        <v>3</v>
      </c>
    </row>
    <row r="103" spans="1:14" x14ac:dyDescent="0.3">
      <c r="A103" t="s">
        <v>23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42982</v>
      </c>
      <c r="M103" t="s">
        <v>25</v>
      </c>
      <c r="N103">
        <f>SUM(Table5[[#This Row],[CAUGHT IN]:[Other Accidents]])</f>
        <v>1</v>
      </c>
    </row>
    <row r="104" spans="1:14" x14ac:dyDescent="0.3">
      <c r="A104" t="s">
        <v>23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42371</v>
      </c>
      <c r="M104" t="s">
        <v>2</v>
      </c>
      <c r="N104">
        <f>SUM(Table5[[#This Row],[CAUGHT IN]:[Other Accidents]])</f>
        <v>1</v>
      </c>
    </row>
    <row r="105" spans="1:14" x14ac:dyDescent="0.3">
      <c r="A105" t="s">
        <v>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 s="1">
        <v>42432</v>
      </c>
      <c r="M105" t="s">
        <v>24</v>
      </c>
      <c r="N105">
        <f>SUM(Table5[[#This Row],[CAUGHT IN]:[Other Accidents]])</f>
        <v>1</v>
      </c>
    </row>
    <row r="106" spans="1:14" x14ac:dyDescent="0.3">
      <c r="A106" t="s">
        <v>12</v>
      </c>
      <c r="B106">
        <v>45</v>
      </c>
      <c r="C106">
        <v>700</v>
      </c>
      <c r="D106">
        <v>522</v>
      </c>
      <c r="E106">
        <v>657</v>
      </c>
      <c r="F106">
        <v>202</v>
      </c>
      <c r="G106">
        <v>19</v>
      </c>
      <c r="H106">
        <v>146</v>
      </c>
      <c r="I106">
        <v>41</v>
      </c>
      <c r="J106">
        <v>18</v>
      </c>
      <c r="K106">
        <v>274</v>
      </c>
      <c r="L106" s="1">
        <v>42371</v>
      </c>
      <c r="M106" t="s">
        <v>2</v>
      </c>
      <c r="N106">
        <f>SUM(Table5[[#This Row],[CAUGHT IN]:[Other Accidents]])</f>
        <v>2624</v>
      </c>
    </row>
    <row r="107" spans="1:14" x14ac:dyDescent="0.3">
      <c r="A107" t="s">
        <v>12</v>
      </c>
      <c r="B107">
        <v>41</v>
      </c>
      <c r="C107">
        <v>644</v>
      </c>
      <c r="D107">
        <v>488</v>
      </c>
      <c r="E107">
        <v>621</v>
      </c>
      <c r="F107">
        <v>154</v>
      </c>
      <c r="G107">
        <v>18</v>
      </c>
      <c r="H107">
        <v>145</v>
      </c>
      <c r="I107">
        <v>59</v>
      </c>
      <c r="J107">
        <v>25</v>
      </c>
      <c r="K107">
        <v>286</v>
      </c>
      <c r="L107" s="1">
        <v>42432</v>
      </c>
      <c r="M107" t="s">
        <v>24</v>
      </c>
      <c r="N107">
        <f>SUM(Table5[[#This Row],[CAUGHT IN]:[Other Accidents]])</f>
        <v>2481</v>
      </c>
    </row>
    <row r="108" spans="1:14" x14ac:dyDescent="0.3">
      <c r="A108" t="s">
        <v>12</v>
      </c>
      <c r="B108">
        <v>35</v>
      </c>
      <c r="C108">
        <v>580</v>
      </c>
      <c r="D108">
        <v>391</v>
      </c>
      <c r="E108">
        <v>541</v>
      </c>
      <c r="F108">
        <v>179</v>
      </c>
      <c r="G108">
        <v>13</v>
      </c>
      <c r="H108">
        <v>121</v>
      </c>
      <c r="I108">
        <v>45</v>
      </c>
      <c r="J108">
        <v>20</v>
      </c>
      <c r="K108">
        <v>278</v>
      </c>
      <c r="L108" s="1">
        <v>42558</v>
      </c>
      <c r="M108" t="s">
        <v>25</v>
      </c>
      <c r="N108">
        <f>SUM(Table5[[#This Row],[CAUGHT IN]:[Other Accidents]])</f>
        <v>2203</v>
      </c>
    </row>
    <row r="109" spans="1:14" x14ac:dyDescent="0.3">
      <c r="A109" t="s">
        <v>12</v>
      </c>
      <c r="B109">
        <v>45</v>
      </c>
      <c r="C109">
        <v>622</v>
      </c>
      <c r="D109">
        <v>505</v>
      </c>
      <c r="E109">
        <v>604</v>
      </c>
      <c r="F109">
        <v>167</v>
      </c>
      <c r="G109">
        <v>13</v>
      </c>
      <c r="H109">
        <v>131</v>
      </c>
      <c r="I109">
        <v>41</v>
      </c>
      <c r="J109">
        <v>20</v>
      </c>
      <c r="K109">
        <v>298</v>
      </c>
      <c r="L109" s="1">
        <v>42654</v>
      </c>
      <c r="M109" t="s">
        <v>26</v>
      </c>
      <c r="N109">
        <f>SUM(Table5[[#This Row],[CAUGHT IN]:[Other Accidents]])</f>
        <v>2446</v>
      </c>
    </row>
    <row r="110" spans="1:14" x14ac:dyDescent="0.3">
      <c r="A110" t="s">
        <v>12</v>
      </c>
      <c r="B110">
        <v>53</v>
      </c>
      <c r="C110">
        <v>557</v>
      </c>
      <c r="D110">
        <v>497</v>
      </c>
      <c r="E110">
        <v>645</v>
      </c>
      <c r="F110">
        <v>190</v>
      </c>
      <c r="G110">
        <v>20</v>
      </c>
      <c r="H110">
        <v>132</v>
      </c>
      <c r="I110">
        <v>49</v>
      </c>
      <c r="J110">
        <v>20</v>
      </c>
      <c r="K110">
        <v>273</v>
      </c>
      <c r="L110" s="1">
        <v>42371</v>
      </c>
      <c r="M110" t="s">
        <v>2</v>
      </c>
      <c r="N110">
        <f>SUM(Table5[[#This Row],[CAUGHT IN]:[Other Accidents]])</f>
        <v>2436</v>
      </c>
    </row>
    <row r="111" spans="1:14" x14ac:dyDescent="0.3">
      <c r="A111" t="s">
        <v>12</v>
      </c>
      <c r="B111">
        <v>34</v>
      </c>
      <c r="C111">
        <v>484</v>
      </c>
      <c r="D111">
        <v>349</v>
      </c>
      <c r="E111">
        <v>442</v>
      </c>
      <c r="F111">
        <v>84</v>
      </c>
      <c r="G111">
        <v>11</v>
      </c>
      <c r="H111">
        <v>105</v>
      </c>
      <c r="I111">
        <v>46</v>
      </c>
      <c r="J111">
        <v>20</v>
      </c>
      <c r="K111">
        <v>194</v>
      </c>
      <c r="L111" s="1">
        <v>42432</v>
      </c>
      <c r="M111" t="s">
        <v>24</v>
      </c>
      <c r="N111">
        <f>SUM(Table5[[#This Row],[CAUGHT IN]:[Other Accidents]])</f>
        <v>1769</v>
      </c>
    </row>
    <row r="112" spans="1:14" x14ac:dyDescent="0.3">
      <c r="A112" t="s">
        <v>12</v>
      </c>
      <c r="B112">
        <v>37</v>
      </c>
      <c r="C112">
        <v>508</v>
      </c>
      <c r="D112">
        <v>376</v>
      </c>
      <c r="E112">
        <v>463</v>
      </c>
      <c r="F112">
        <v>116</v>
      </c>
      <c r="G112">
        <v>11</v>
      </c>
      <c r="H112">
        <v>114</v>
      </c>
      <c r="I112">
        <v>50</v>
      </c>
      <c r="J112">
        <v>17</v>
      </c>
      <c r="K112">
        <v>219</v>
      </c>
      <c r="L112" s="1">
        <v>42972</v>
      </c>
      <c r="M112" t="s">
        <v>25</v>
      </c>
      <c r="N112">
        <f>SUM(Table5[[#This Row],[CAUGHT IN]:[Other Accidents]])</f>
        <v>1911</v>
      </c>
    </row>
    <row r="113" spans="1:14" x14ac:dyDescent="0.3">
      <c r="A113" t="s">
        <v>12</v>
      </c>
      <c r="B113">
        <v>33</v>
      </c>
      <c r="C113">
        <v>542</v>
      </c>
      <c r="D113">
        <v>413</v>
      </c>
      <c r="E113">
        <v>484</v>
      </c>
      <c r="F113">
        <v>70</v>
      </c>
      <c r="G113">
        <v>13</v>
      </c>
      <c r="H113">
        <v>113</v>
      </c>
      <c r="I113">
        <v>54</v>
      </c>
      <c r="J113">
        <v>24</v>
      </c>
      <c r="K113">
        <v>229</v>
      </c>
      <c r="L113" s="1">
        <v>42972</v>
      </c>
      <c r="M113" t="s">
        <v>26</v>
      </c>
      <c r="N113">
        <f>SUM(Table5[[#This Row],[CAUGHT IN]:[Other Accidents]])</f>
        <v>1975</v>
      </c>
    </row>
    <row r="114" spans="1:14" x14ac:dyDescent="0.3">
      <c r="A114" t="s">
        <v>12</v>
      </c>
      <c r="B114">
        <v>38</v>
      </c>
      <c r="C114">
        <v>528</v>
      </c>
      <c r="D114">
        <v>400</v>
      </c>
      <c r="E114">
        <v>557</v>
      </c>
      <c r="F114">
        <v>78</v>
      </c>
      <c r="G114">
        <v>14</v>
      </c>
      <c r="H114">
        <v>133</v>
      </c>
      <c r="I114">
        <v>38</v>
      </c>
      <c r="J114">
        <v>16</v>
      </c>
      <c r="K114">
        <v>266</v>
      </c>
      <c r="L114" s="1">
        <v>42371</v>
      </c>
      <c r="M114" t="s">
        <v>2</v>
      </c>
      <c r="N114">
        <f>SUM(Table5[[#This Row],[CAUGHT IN]:[Other Accidents]])</f>
        <v>2068</v>
      </c>
    </row>
    <row r="115" spans="1:14" x14ac:dyDescent="0.3">
      <c r="A115" t="s">
        <v>12</v>
      </c>
      <c r="B115">
        <v>37</v>
      </c>
      <c r="C115">
        <v>453</v>
      </c>
      <c r="D115">
        <v>371</v>
      </c>
      <c r="E115">
        <v>437</v>
      </c>
      <c r="F115">
        <v>56</v>
      </c>
      <c r="G115">
        <v>6</v>
      </c>
      <c r="H115">
        <v>92</v>
      </c>
      <c r="I115">
        <v>47</v>
      </c>
      <c r="J115">
        <v>17</v>
      </c>
      <c r="K115">
        <v>195</v>
      </c>
      <c r="L115" s="1">
        <v>42432</v>
      </c>
      <c r="M115" t="s">
        <v>24</v>
      </c>
      <c r="N115">
        <f>SUM(Table5[[#This Row],[CAUGHT IN]:[Other Accidents]])</f>
        <v>1711</v>
      </c>
    </row>
    <row r="116" spans="1:14" x14ac:dyDescent="0.3">
      <c r="A116" t="s">
        <v>12</v>
      </c>
      <c r="B116">
        <v>41</v>
      </c>
      <c r="C116">
        <v>445</v>
      </c>
      <c r="D116">
        <v>337</v>
      </c>
      <c r="E116">
        <v>459</v>
      </c>
      <c r="F116">
        <v>66</v>
      </c>
      <c r="G116">
        <v>9</v>
      </c>
      <c r="H116">
        <v>71</v>
      </c>
      <c r="I116">
        <v>47</v>
      </c>
      <c r="J116">
        <v>8</v>
      </c>
      <c r="K116">
        <v>227</v>
      </c>
      <c r="L116" s="1">
        <v>42432</v>
      </c>
      <c r="M116" t="s">
        <v>24</v>
      </c>
      <c r="N116">
        <f>SUM(Table5[[#This Row],[CAUGHT IN]:[Other Accidents]])</f>
        <v>1710</v>
      </c>
    </row>
    <row r="117" spans="1:14" x14ac:dyDescent="0.3">
      <c r="A117" t="s">
        <v>12</v>
      </c>
      <c r="B117">
        <v>28</v>
      </c>
      <c r="C117">
        <v>414</v>
      </c>
      <c r="D117">
        <v>335</v>
      </c>
      <c r="E117">
        <v>419</v>
      </c>
      <c r="F117">
        <v>97</v>
      </c>
      <c r="G117">
        <v>6</v>
      </c>
      <c r="H117">
        <v>67</v>
      </c>
      <c r="I117">
        <v>25</v>
      </c>
      <c r="J117">
        <v>14</v>
      </c>
      <c r="K117">
        <v>168</v>
      </c>
      <c r="L117" s="1">
        <v>42432</v>
      </c>
      <c r="M117" t="s">
        <v>24</v>
      </c>
      <c r="N117">
        <f>SUM(Table5[[#This Row],[CAUGHT IN]:[Other Accidents]])</f>
        <v>1573</v>
      </c>
    </row>
    <row r="118" spans="1:14" x14ac:dyDescent="0.3">
      <c r="A118" t="s">
        <v>16</v>
      </c>
      <c r="B118">
        <v>0</v>
      </c>
      <c r="C118">
        <v>11</v>
      </c>
      <c r="D118">
        <v>4</v>
      </c>
      <c r="E118">
        <v>23</v>
      </c>
      <c r="F118">
        <v>8</v>
      </c>
      <c r="G118">
        <v>0</v>
      </c>
      <c r="H118">
        <v>0</v>
      </c>
      <c r="I118">
        <v>2</v>
      </c>
      <c r="J118">
        <v>0</v>
      </c>
      <c r="K118">
        <v>4</v>
      </c>
      <c r="L118" s="1">
        <v>42371</v>
      </c>
      <c r="M118" t="s">
        <v>2</v>
      </c>
      <c r="N118">
        <f>SUM(Table5[[#This Row],[CAUGHT IN]:[Other Accidents]])</f>
        <v>52</v>
      </c>
    </row>
    <row r="119" spans="1:14" x14ac:dyDescent="0.3">
      <c r="A119" t="s">
        <v>16</v>
      </c>
      <c r="B119">
        <v>1</v>
      </c>
      <c r="C119">
        <v>16</v>
      </c>
      <c r="D119">
        <v>22</v>
      </c>
      <c r="E119">
        <v>32</v>
      </c>
      <c r="F119">
        <v>9</v>
      </c>
      <c r="G119">
        <v>0</v>
      </c>
      <c r="H119">
        <v>2</v>
      </c>
      <c r="I119">
        <v>3</v>
      </c>
      <c r="J119">
        <v>0</v>
      </c>
      <c r="K119">
        <v>10</v>
      </c>
      <c r="L119" s="1">
        <v>42432</v>
      </c>
      <c r="M119" t="s">
        <v>24</v>
      </c>
      <c r="N119">
        <f>SUM(Table5[[#This Row],[CAUGHT IN]:[Other Accidents]])</f>
        <v>95</v>
      </c>
    </row>
    <row r="120" spans="1:14" x14ac:dyDescent="0.3">
      <c r="A120" t="s">
        <v>16</v>
      </c>
      <c r="B120">
        <v>0</v>
      </c>
      <c r="C120">
        <v>5</v>
      </c>
      <c r="D120">
        <v>10</v>
      </c>
      <c r="E120">
        <v>16</v>
      </c>
      <c r="F120">
        <v>13</v>
      </c>
      <c r="G120">
        <v>0</v>
      </c>
      <c r="H120">
        <v>2</v>
      </c>
      <c r="I120">
        <v>0</v>
      </c>
      <c r="J120">
        <v>1</v>
      </c>
      <c r="K120">
        <v>5</v>
      </c>
      <c r="L120" s="1">
        <v>42558</v>
      </c>
      <c r="M120" t="s">
        <v>25</v>
      </c>
      <c r="N120">
        <f>SUM(Table5[[#This Row],[CAUGHT IN]:[Other Accidents]])</f>
        <v>52</v>
      </c>
    </row>
    <row r="121" spans="1:14" x14ac:dyDescent="0.3">
      <c r="A121" t="s">
        <v>16</v>
      </c>
      <c r="B121">
        <v>0</v>
      </c>
      <c r="C121">
        <v>10</v>
      </c>
      <c r="D121">
        <v>8</v>
      </c>
      <c r="E121">
        <v>19</v>
      </c>
      <c r="F121">
        <v>7</v>
      </c>
      <c r="G121">
        <v>0</v>
      </c>
      <c r="H121">
        <v>2</v>
      </c>
      <c r="I121">
        <v>0</v>
      </c>
      <c r="J121">
        <v>0</v>
      </c>
      <c r="K121">
        <v>8</v>
      </c>
      <c r="L121" s="1">
        <v>42654</v>
      </c>
      <c r="M121" t="s">
        <v>26</v>
      </c>
      <c r="N121">
        <f>SUM(Table5[[#This Row],[CAUGHT IN]:[Other Accidents]])</f>
        <v>54</v>
      </c>
    </row>
    <row r="122" spans="1:14" x14ac:dyDescent="0.3">
      <c r="A122" t="s">
        <v>16</v>
      </c>
      <c r="B122">
        <v>2</v>
      </c>
      <c r="C122">
        <v>14</v>
      </c>
      <c r="D122">
        <v>14</v>
      </c>
      <c r="E122">
        <v>28</v>
      </c>
      <c r="F122">
        <v>6</v>
      </c>
      <c r="G122">
        <v>0</v>
      </c>
      <c r="H122">
        <v>0</v>
      </c>
      <c r="I122">
        <v>1</v>
      </c>
      <c r="J122">
        <v>0</v>
      </c>
      <c r="K122">
        <v>5</v>
      </c>
      <c r="L122" s="1">
        <v>42371</v>
      </c>
      <c r="M122" t="s">
        <v>2</v>
      </c>
      <c r="N122">
        <f>SUM(Table5[[#This Row],[CAUGHT IN]:[Other Accidents]])</f>
        <v>70</v>
      </c>
    </row>
    <row r="123" spans="1:14" x14ac:dyDescent="0.3">
      <c r="A123" t="s">
        <v>16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</v>
      </c>
      <c r="L123" s="1">
        <v>42432</v>
      </c>
      <c r="M123" t="s">
        <v>24</v>
      </c>
      <c r="N123">
        <f>SUM(Table5[[#This Row],[CAUGHT IN]:[Other Accidents]])</f>
        <v>3</v>
      </c>
    </row>
    <row r="124" spans="1:14" x14ac:dyDescent="0.3">
      <c r="A124" t="s">
        <v>16</v>
      </c>
      <c r="B124">
        <v>0</v>
      </c>
      <c r="C124">
        <v>3</v>
      </c>
      <c r="D124">
        <v>4</v>
      </c>
      <c r="E124">
        <v>5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1</v>
      </c>
      <c r="L124" s="1">
        <v>42976</v>
      </c>
      <c r="M124" t="s">
        <v>25</v>
      </c>
      <c r="N124">
        <f>SUM(Table5[[#This Row],[CAUGHT IN]:[Other Accidents]])</f>
        <v>15</v>
      </c>
    </row>
    <row r="125" spans="1:14" x14ac:dyDescent="0.3">
      <c r="A125" t="s">
        <v>16</v>
      </c>
      <c r="B125">
        <v>0</v>
      </c>
      <c r="C125">
        <v>4</v>
      </c>
      <c r="D125">
        <v>5</v>
      </c>
      <c r="E125">
        <v>7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2</v>
      </c>
      <c r="L125" s="1">
        <v>42976</v>
      </c>
      <c r="M125" t="s">
        <v>26</v>
      </c>
      <c r="N125">
        <f>SUM(Table5[[#This Row],[CAUGHT IN]:[Other Accidents]])</f>
        <v>22</v>
      </c>
    </row>
    <row r="126" spans="1:14" x14ac:dyDescent="0.3">
      <c r="A126" t="s">
        <v>16</v>
      </c>
      <c r="B126">
        <v>1</v>
      </c>
      <c r="C126">
        <v>7</v>
      </c>
      <c r="D126">
        <v>8</v>
      </c>
      <c r="E126">
        <v>7</v>
      </c>
      <c r="F126">
        <v>1</v>
      </c>
      <c r="G126">
        <v>0</v>
      </c>
      <c r="H126">
        <v>2</v>
      </c>
      <c r="I126">
        <v>1</v>
      </c>
      <c r="J126">
        <v>1</v>
      </c>
      <c r="K126">
        <v>6</v>
      </c>
      <c r="L126" s="1">
        <v>42371</v>
      </c>
      <c r="M126" t="s">
        <v>2</v>
      </c>
      <c r="N126">
        <f>SUM(Table5[[#This Row],[CAUGHT IN]:[Other Accidents]])</f>
        <v>34</v>
      </c>
    </row>
    <row r="127" spans="1:14" x14ac:dyDescent="0.3">
      <c r="A127" t="s">
        <v>16</v>
      </c>
      <c r="B127">
        <v>0</v>
      </c>
      <c r="C127">
        <v>2</v>
      </c>
      <c r="D127">
        <v>4</v>
      </c>
      <c r="E127">
        <v>8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2</v>
      </c>
      <c r="L127" s="1">
        <v>42432</v>
      </c>
      <c r="M127" t="s">
        <v>24</v>
      </c>
      <c r="N127">
        <f>SUM(Table5[[#This Row],[CAUGHT IN]:[Other Accidents]])</f>
        <v>18</v>
      </c>
    </row>
    <row r="128" spans="1:14" x14ac:dyDescent="0.3">
      <c r="A128" t="s">
        <v>16</v>
      </c>
      <c r="B128">
        <v>0</v>
      </c>
      <c r="C128">
        <v>1</v>
      </c>
      <c r="D128">
        <v>1</v>
      </c>
      <c r="E128">
        <v>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s="1">
        <v>42432</v>
      </c>
      <c r="M128" t="s">
        <v>24</v>
      </c>
      <c r="N128">
        <f>SUM(Table5[[#This Row],[CAUGHT IN]:[Other Accidents]])</f>
        <v>8</v>
      </c>
    </row>
    <row r="129" spans="1:14" x14ac:dyDescent="0.3">
      <c r="A129" t="s">
        <v>16</v>
      </c>
      <c r="B129">
        <v>1</v>
      </c>
      <c r="C129">
        <v>7</v>
      </c>
      <c r="D129">
        <v>9</v>
      </c>
      <c r="E129">
        <v>13</v>
      </c>
      <c r="F129">
        <v>5</v>
      </c>
      <c r="G129">
        <v>0</v>
      </c>
      <c r="H129">
        <v>0</v>
      </c>
      <c r="I129">
        <v>1</v>
      </c>
      <c r="J129">
        <v>0</v>
      </c>
      <c r="K129">
        <v>2</v>
      </c>
      <c r="L129" s="1">
        <v>42432</v>
      </c>
      <c r="M129" t="s">
        <v>24</v>
      </c>
      <c r="N129">
        <f>SUM(Table5[[#This Row],[CAUGHT IN]:[Other Accidents]])</f>
        <v>38</v>
      </c>
    </row>
    <row r="130" spans="1:14" x14ac:dyDescent="0.3">
      <c r="A130" t="s">
        <v>4</v>
      </c>
      <c r="B130">
        <v>1</v>
      </c>
      <c r="C130">
        <v>9</v>
      </c>
      <c r="D130">
        <v>9</v>
      </c>
      <c r="E130">
        <v>6</v>
      </c>
      <c r="F130">
        <v>5</v>
      </c>
      <c r="G130">
        <v>0</v>
      </c>
      <c r="H130">
        <v>1</v>
      </c>
      <c r="I130">
        <v>0</v>
      </c>
      <c r="J130">
        <v>0</v>
      </c>
      <c r="K130">
        <v>6</v>
      </c>
      <c r="L130" s="1">
        <v>42371</v>
      </c>
      <c r="M130" t="s">
        <v>2</v>
      </c>
      <c r="N130">
        <f>SUM(Table5[[#This Row],[CAUGHT IN]:[Other Accidents]])</f>
        <v>37</v>
      </c>
    </row>
    <row r="131" spans="1:14" x14ac:dyDescent="0.3">
      <c r="A131" t="s">
        <v>4</v>
      </c>
      <c r="B131">
        <v>0</v>
      </c>
      <c r="C131">
        <v>4</v>
      </c>
      <c r="D131">
        <v>4</v>
      </c>
      <c r="E131">
        <v>3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2</v>
      </c>
      <c r="L131" s="1">
        <v>42432</v>
      </c>
      <c r="M131" t="s">
        <v>24</v>
      </c>
      <c r="N131">
        <f>SUM(Table5[[#This Row],[CAUGHT IN]:[Other Accidents]])</f>
        <v>18</v>
      </c>
    </row>
    <row r="132" spans="1:14" x14ac:dyDescent="0.3">
      <c r="A132" t="s">
        <v>4</v>
      </c>
      <c r="B132">
        <v>0</v>
      </c>
      <c r="C132">
        <v>0</v>
      </c>
      <c r="D132">
        <v>3</v>
      </c>
      <c r="E132">
        <v>4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1</v>
      </c>
      <c r="L132" s="1">
        <v>42558</v>
      </c>
      <c r="M132" t="s">
        <v>25</v>
      </c>
      <c r="N132">
        <f>SUM(Table5[[#This Row],[CAUGHT IN]:[Other Accidents]])</f>
        <v>10</v>
      </c>
    </row>
    <row r="133" spans="1:14" x14ac:dyDescent="0.3">
      <c r="A133" t="s">
        <v>4</v>
      </c>
      <c r="B133">
        <v>0</v>
      </c>
      <c r="C133">
        <v>3</v>
      </c>
      <c r="D133">
        <v>1</v>
      </c>
      <c r="E133">
        <v>4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3</v>
      </c>
      <c r="L133" s="1">
        <v>42654</v>
      </c>
      <c r="M133" t="s">
        <v>26</v>
      </c>
      <c r="N133">
        <f>SUM(Table5[[#This Row],[CAUGHT IN]:[Other Accidents]])</f>
        <v>15</v>
      </c>
    </row>
    <row r="134" spans="1:14" x14ac:dyDescent="0.3">
      <c r="A134" t="s">
        <v>4</v>
      </c>
      <c r="B134">
        <v>0</v>
      </c>
      <c r="C134">
        <v>11</v>
      </c>
      <c r="D134">
        <v>5</v>
      </c>
      <c r="E134">
        <v>13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4</v>
      </c>
      <c r="L134" s="1">
        <v>42371</v>
      </c>
      <c r="M134" t="s">
        <v>2</v>
      </c>
      <c r="N134">
        <f>SUM(Table5[[#This Row],[CAUGHT IN]:[Other Accidents]])</f>
        <v>36</v>
      </c>
    </row>
    <row r="135" spans="1:14" x14ac:dyDescent="0.3">
      <c r="A135" t="s">
        <v>4</v>
      </c>
      <c r="B135">
        <v>2</v>
      </c>
      <c r="C135">
        <v>7</v>
      </c>
      <c r="D135">
        <v>8</v>
      </c>
      <c r="E135">
        <v>9</v>
      </c>
      <c r="F135">
        <v>1</v>
      </c>
      <c r="G135">
        <v>0</v>
      </c>
      <c r="H135">
        <v>1</v>
      </c>
      <c r="I135">
        <v>0</v>
      </c>
      <c r="J135">
        <v>3</v>
      </c>
      <c r="K135">
        <v>1</v>
      </c>
      <c r="L135" s="1">
        <v>42432</v>
      </c>
      <c r="M135" t="s">
        <v>24</v>
      </c>
      <c r="N135">
        <f>SUM(Table5[[#This Row],[CAUGHT IN]:[Other Accidents]])</f>
        <v>32</v>
      </c>
    </row>
    <row r="136" spans="1:14" x14ac:dyDescent="0.3">
      <c r="A136" t="s">
        <v>4</v>
      </c>
      <c r="B136">
        <v>0</v>
      </c>
      <c r="C136">
        <v>1</v>
      </c>
      <c r="D136">
        <v>5</v>
      </c>
      <c r="E136">
        <v>7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2</v>
      </c>
      <c r="L136" s="1">
        <v>42964</v>
      </c>
      <c r="M136" t="s">
        <v>25</v>
      </c>
      <c r="N136">
        <f>SUM(Table5[[#This Row],[CAUGHT IN]:[Other Accidents]])</f>
        <v>16</v>
      </c>
    </row>
    <row r="137" spans="1:14" x14ac:dyDescent="0.3">
      <c r="A137" t="s">
        <v>4</v>
      </c>
      <c r="B137">
        <v>0</v>
      </c>
      <c r="C137">
        <v>9</v>
      </c>
      <c r="D137">
        <v>7</v>
      </c>
      <c r="E137">
        <v>9</v>
      </c>
      <c r="F137">
        <v>2</v>
      </c>
      <c r="G137">
        <v>0</v>
      </c>
      <c r="H137">
        <v>3</v>
      </c>
      <c r="I137">
        <v>1</v>
      </c>
      <c r="J137">
        <v>1</v>
      </c>
      <c r="K137">
        <v>5</v>
      </c>
      <c r="L137" s="1">
        <v>42964</v>
      </c>
      <c r="M137" t="s">
        <v>26</v>
      </c>
      <c r="N137">
        <f>SUM(Table5[[#This Row],[CAUGHT IN]:[Other Accidents]])</f>
        <v>37</v>
      </c>
    </row>
    <row r="138" spans="1:14" x14ac:dyDescent="0.3">
      <c r="A138" t="s">
        <v>4</v>
      </c>
      <c r="B138">
        <v>0</v>
      </c>
      <c r="C138">
        <v>10</v>
      </c>
      <c r="D138">
        <v>11</v>
      </c>
      <c r="E138">
        <v>14</v>
      </c>
      <c r="F138">
        <v>2</v>
      </c>
      <c r="G138">
        <v>0</v>
      </c>
      <c r="H138">
        <v>2</v>
      </c>
      <c r="I138">
        <v>0</v>
      </c>
      <c r="J138">
        <v>0</v>
      </c>
      <c r="K138">
        <v>8</v>
      </c>
      <c r="L138" s="1">
        <v>42371</v>
      </c>
      <c r="M138" t="s">
        <v>2</v>
      </c>
      <c r="N138">
        <f>SUM(Table5[[#This Row],[CAUGHT IN]:[Other Accidents]])</f>
        <v>47</v>
      </c>
    </row>
    <row r="139" spans="1:14" x14ac:dyDescent="0.3">
      <c r="A139" t="s">
        <v>4</v>
      </c>
      <c r="B139">
        <v>1</v>
      </c>
      <c r="C139">
        <v>5</v>
      </c>
      <c r="D139">
        <v>4</v>
      </c>
      <c r="E139">
        <v>15</v>
      </c>
      <c r="F139">
        <v>2</v>
      </c>
      <c r="G139">
        <v>0</v>
      </c>
      <c r="H139">
        <v>1</v>
      </c>
      <c r="I139">
        <v>0</v>
      </c>
      <c r="J139">
        <v>0</v>
      </c>
      <c r="K139">
        <v>5</v>
      </c>
      <c r="L139" s="1">
        <v>42432</v>
      </c>
      <c r="M139" t="s">
        <v>24</v>
      </c>
      <c r="N139">
        <f>SUM(Table5[[#This Row],[CAUGHT IN]:[Other Accidents]])</f>
        <v>33</v>
      </c>
    </row>
    <row r="140" spans="1:14" x14ac:dyDescent="0.3">
      <c r="A140" t="s">
        <v>4</v>
      </c>
      <c r="B140">
        <v>0</v>
      </c>
      <c r="C140">
        <v>5</v>
      </c>
      <c r="D140">
        <v>1</v>
      </c>
      <c r="E140">
        <v>8</v>
      </c>
      <c r="F140">
        <v>2</v>
      </c>
      <c r="G140">
        <v>0</v>
      </c>
      <c r="H140">
        <v>3</v>
      </c>
      <c r="I140">
        <v>1</v>
      </c>
      <c r="J140">
        <v>0</v>
      </c>
      <c r="K140">
        <v>4</v>
      </c>
      <c r="L140" s="1">
        <v>42432</v>
      </c>
      <c r="M140" t="s">
        <v>24</v>
      </c>
      <c r="N140">
        <f>SUM(Table5[[#This Row],[CAUGHT IN]:[Other Accidents]])</f>
        <v>24</v>
      </c>
    </row>
    <row r="141" spans="1:14" x14ac:dyDescent="0.3">
      <c r="A141" t="s">
        <v>4</v>
      </c>
      <c r="B141">
        <v>0</v>
      </c>
      <c r="C141">
        <v>6</v>
      </c>
      <c r="D141">
        <v>2</v>
      </c>
      <c r="E141">
        <v>4</v>
      </c>
      <c r="F141">
        <v>3</v>
      </c>
      <c r="G141">
        <v>0</v>
      </c>
      <c r="H141">
        <v>0</v>
      </c>
      <c r="I141">
        <v>2</v>
      </c>
      <c r="J141">
        <v>0</v>
      </c>
      <c r="K141">
        <v>6</v>
      </c>
      <c r="L141" s="1">
        <v>42432</v>
      </c>
      <c r="M141" t="s">
        <v>24</v>
      </c>
      <c r="N141">
        <f>SUM(Table5[[#This Row],[CAUGHT IN]:[Other Accidents]])</f>
        <v>23</v>
      </c>
    </row>
    <row r="142" spans="1:14" x14ac:dyDescent="0.3">
      <c r="A142" t="s">
        <v>19</v>
      </c>
      <c r="B142">
        <v>5</v>
      </c>
      <c r="C142">
        <v>67</v>
      </c>
      <c r="D142">
        <v>26</v>
      </c>
      <c r="E142">
        <v>52</v>
      </c>
      <c r="F142">
        <v>53</v>
      </c>
      <c r="G142">
        <v>1</v>
      </c>
      <c r="H142">
        <v>13</v>
      </c>
      <c r="I142">
        <v>1</v>
      </c>
      <c r="J142">
        <v>1</v>
      </c>
      <c r="K142">
        <v>15</v>
      </c>
      <c r="L142" s="1">
        <v>42371</v>
      </c>
      <c r="M142" t="s">
        <v>2</v>
      </c>
      <c r="N142">
        <f>SUM(Table5[[#This Row],[CAUGHT IN]:[Other Accidents]])</f>
        <v>234</v>
      </c>
    </row>
    <row r="143" spans="1:14" x14ac:dyDescent="0.3">
      <c r="A143" t="s">
        <v>19</v>
      </c>
      <c r="B143">
        <v>3</v>
      </c>
      <c r="C143">
        <v>49</v>
      </c>
      <c r="D143">
        <v>20</v>
      </c>
      <c r="E143">
        <v>46</v>
      </c>
      <c r="F143">
        <v>18</v>
      </c>
      <c r="G143">
        <v>0</v>
      </c>
      <c r="H143">
        <v>17</v>
      </c>
      <c r="I143">
        <v>3</v>
      </c>
      <c r="J143">
        <v>2</v>
      </c>
      <c r="K143">
        <v>6</v>
      </c>
      <c r="L143" s="1">
        <v>42432</v>
      </c>
      <c r="M143" t="s">
        <v>24</v>
      </c>
      <c r="N143">
        <f>SUM(Table5[[#This Row],[CAUGHT IN]:[Other Accidents]])</f>
        <v>164</v>
      </c>
    </row>
    <row r="144" spans="1:14" x14ac:dyDescent="0.3">
      <c r="A144" t="s">
        <v>19</v>
      </c>
      <c r="B144">
        <v>4</v>
      </c>
      <c r="C144">
        <v>31</v>
      </c>
      <c r="D144">
        <v>6</v>
      </c>
      <c r="E144">
        <v>45</v>
      </c>
      <c r="F144">
        <v>12</v>
      </c>
      <c r="G144">
        <v>0</v>
      </c>
      <c r="H144">
        <v>11</v>
      </c>
      <c r="I144">
        <v>7</v>
      </c>
      <c r="J144">
        <v>0</v>
      </c>
      <c r="K144">
        <v>9</v>
      </c>
      <c r="L144" s="1">
        <v>42558</v>
      </c>
      <c r="M144" t="s">
        <v>25</v>
      </c>
      <c r="N144">
        <f>SUM(Table5[[#This Row],[CAUGHT IN]:[Other Accidents]])</f>
        <v>125</v>
      </c>
    </row>
    <row r="145" spans="1:14" x14ac:dyDescent="0.3">
      <c r="A145" t="s">
        <v>19</v>
      </c>
      <c r="B145">
        <v>6</v>
      </c>
      <c r="C145">
        <v>66</v>
      </c>
      <c r="D145">
        <v>26</v>
      </c>
      <c r="E145">
        <v>68</v>
      </c>
      <c r="F145">
        <v>18</v>
      </c>
      <c r="G145">
        <v>0</v>
      </c>
      <c r="H145">
        <v>15</v>
      </c>
      <c r="I145">
        <v>28</v>
      </c>
      <c r="J145">
        <v>1</v>
      </c>
      <c r="K145">
        <v>15</v>
      </c>
      <c r="L145" s="1">
        <v>42654</v>
      </c>
      <c r="M145" t="s">
        <v>26</v>
      </c>
      <c r="N145">
        <f>SUM(Table5[[#This Row],[CAUGHT IN]:[Other Accidents]])</f>
        <v>243</v>
      </c>
    </row>
    <row r="146" spans="1:14" x14ac:dyDescent="0.3">
      <c r="A146" t="s">
        <v>19</v>
      </c>
      <c r="B146">
        <v>8</v>
      </c>
      <c r="C146">
        <v>53</v>
      </c>
      <c r="D146">
        <v>31</v>
      </c>
      <c r="E146">
        <v>77</v>
      </c>
      <c r="F146">
        <v>17</v>
      </c>
      <c r="G146">
        <v>1</v>
      </c>
      <c r="H146">
        <v>17</v>
      </c>
      <c r="I146">
        <v>36</v>
      </c>
      <c r="J146">
        <v>2</v>
      </c>
      <c r="K146">
        <v>20</v>
      </c>
      <c r="L146" s="1">
        <v>42371</v>
      </c>
      <c r="M146" t="s">
        <v>2</v>
      </c>
      <c r="N146">
        <f>SUM(Table5[[#This Row],[CAUGHT IN]:[Other Accidents]])</f>
        <v>262</v>
      </c>
    </row>
    <row r="147" spans="1:14" x14ac:dyDescent="0.3">
      <c r="A147" t="s">
        <v>19</v>
      </c>
      <c r="B147">
        <v>7</v>
      </c>
      <c r="C147">
        <v>28</v>
      </c>
      <c r="D147">
        <v>16</v>
      </c>
      <c r="E147">
        <v>56</v>
      </c>
      <c r="F147">
        <v>8</v>
      </c>
      <c r="G147">
        <v>0</v>
      </c>
      <c r="H147">
        <v>14</v>
      </c>
      <c r="I147">
        <v>27</v>
      </c>
      <c r="J147">
        <v>0</v>
      </c>
      <c r="K147">
        <v>7</v>
      </c>
      <c r="L147" s="1">
        <v>42432</v>
      </c>
      <c r="M147" t="s">
        <v>24</v>
      </c>
      <c r="N147">
        <f>SUM(Table5[[#This Row],[CAUGHT IN]:[Other Accidents]])</f>
        <v>163</v>
      </c>
    </row>
    <row r="148" spans="1:14" x14ac:dyDescent="0.3">
      <c r="A148" t="s">
        <v>19</v>
      </c>
      <c r="B148">
        <v>4</v>
      </c>
      <c r="C148">
        <v>43</v>
      </c>
      <c r="D148">
        <v>20</v>
      </c>
      <c r="E148">
        <v>45</v>
      </c>
      <c r="F148">
        <v>8</v>
      </c>
      <c r="G148">
        <v>0</v>
      </c>
      <c r="H148">
        <v>6</v>
      </c>
      <c r="I148">
        <v>27</v>
      </c>
      <c r="J148">
        <v>4</v>
      </c>
      <c r="K148">
        <v>9</v>
      </c>
      <c r="L148" s="1">
        <v>42978</v>
      </c>
      <c r="M148" t="s">
        <v>25</v>
      </c>
      <c r="N148">
        <f>SUM(Table5[[#This Row],[CAUGHT IN]:[Other Accidents]])</f>
        <v>166</v>
      </c>
    </row>
    <row r="149" spans="1:14" x14ac:dyDescent="0.3">
      <c r="A149" t="s">
        <v>19</v>
      </c>
      <c r="B149">
        <v>2</v>
      </c>
      <c r="C149">
        <v>61</v>
      </c>
      <c r="D149">
        <v>19</v>
      </c>
      <c r="E149">
        <v>74</v>
      </c>
      <c r="F149">
        <v>22</v>
      </c>
      <c r="G149">
        <v>2</v>
      </c>
      <c r="H149">
        <v>19</v>
      </c>
      <c r="I149">
        <v>23</v>
      </c>
      <c r="J149">
        <v>3</v>
      </c>
      <c r="K149">
        <v>9</v>
      </c>
      <c r="L149" s="1">
        <v>42979</v>
      </c>
      <c r="M149" t="s">
        <v>26</v>
      </c>
      <c r="N149">
        <f>SUM(Table5[[#This Row],[CAUGHT IN]:[Other Accidents]])</f>
        <v>234</v>
      </c>
    </row>
    <row r="150" spans="1:14" x14ac:dyDescent="0.3">
      <c r="A150" t="s">
        <v>19</v>
      </c>
      <c r="B150">
        <v>4</v>
      </c>
      <c r="C150">
        <v>49</v>
      </c>
      <c r="D150">
        <v>34</v>
      </c>
      <c r="E150">
        <v>70</v>
      </c>
      <c r="F150">
        <v>26</v>
      </c>
      <c r="G150">
        <v>0</v>
      </c>
      <c r="H150">
        <v>10</v>
      </c>
      <c r="I150">
        <v>9</v>
      </c>
      <c r="J150">
        <v>1</v>
      </c>
      <c r="K150">
        <v>17</v>
      </c>
      <c r="L150" s="1">
        <v>42371</v>
      </c>
      <c r="M150" t="s">
        <v>2</v>
      </c>
      <c r="N150">
        <f>SUM(Table5[[#This Row],[CAUGHT IN]:[Other Accidents]])</f>
        <v>220</v>
      </c>
    </row>
    <row r="151" spans="1:14" x14ac:dyDescent="0.3">
      <c r="A151" t="s">
        <v>19</v>
      </c>
      <c r="B151">
        <v>1</v>
      </c>
      <c r="C151">
        <v>50</v>
      </c>
      <c r="D151">
        <v>21</v>
      </c>
      <c r="E151">
        <v>80</v>
      </c>
      <c r="F151">
        <v>3</v>
      </c>
      <c r="G151">
        <v>1</v>
      </c>
      <c r="H151">
        <v>19</v>
      </c>
      <c r="I151">
        <v>15</v>
      </c>
      <c r="J151">
        <v>0</v>
      </c>
      <c r="K151">
        <v>18</v>
      </c>
      <c r="L151" s="1">
        <v>42432</v>
      </c>
      <c r="M151" t="s">
        <v>24</v>
      </c>
      <c r="N151">
        <f>SUM(Table5[[#This Row],[CAUGHT IN]:[Other Accidents]])</f>
        <v>208</v>
      </c>
    </row>
    <row r="152" spans="1:14" x14ac:dyDescent="0.3">
      <c r="A152" t="s">
        <v>19</v>
      </c>
      <c r="B152">
        <v>3</v>
      </c>
      <c r="C152">
        <v>43</v>
      </c>
      <c r="D152">
        <v>17</v>
      </c>
      <c r="E152">
        <v>47</v>
      </c>
      <c r="F152">
        <v>6</v>
      </c>
      <c r="G152">
        <v>0</v>
      </c>
      <c r="H152">
        <v>11</v>
      </c>
      <c r="I152">
        <v>7</v>
      </c>
      <c r="J152">
        <v>1</v>
      </c>
      <c r="K152">
        <v>8</v>
      </c>
      <c r="L152" s="1">
        <v>42432</v>
      </c>
      <c r="M152" t="s">
        <v>24</v>
      </c>
      <c r="N152">
        <f>SUM(Table5[[#This Row],[CAUGHT IN]:[Other Accidents]])</f>
        <v>143</v>
      </c>
    </row>
    <row r="153" spans="1:14" x14ac:dyDescent="0.3">
      <c r="A153" t="s">
        <v>19</v>
      </c>
      <c r="B153">
        <v>3</v>
      </c>
      <c r="C153">
        <v>25</v>
      </c>
      <c r="D153">
        <v>13</v>
      </c>
      <c r="E153">
        <v>41</v>
      </c>
      <c r="F153">
        <v>7</v>
      </c>
      <c r="G153">
        <v>0</v>
      </c>
      <c r="H153">
        <v>6</v>
      </c>
      <c r="I153">
        <v>2</v>
      </c>
      <c r="J153">
        <v>2</v>
      </c>
      <c r="K153">
        <v>7</v>
      </c>
      <c r="L153" s="1">
        <v>42432</v>
      </c>
      <c r="M153" t="s">
        <v>24</v>
      </c>
      <c r="N153">
        <f>SUM(Table5[[#This Row],[CAUGHT IN]:[Other Accidents]])</f>
        <v>106</v>
      </c>
    </row>
    <row r="154" spans="1:14" x14ac:dyDescent="0.3">
      <c r="A154" t="s">
        <v>15</v>
      </c>
      <c r="B154">
        <v>12</v>
      </c>
      <c r="C154">
        <v>168</v>
      </c>
      <c r="D154">
        <v>105</v>
      </c>
      <c r="E154">
        <v>118</v>
      </c>
      <c r="F154">
        <v>54</v>
      </c>
      <c r="G154">
        <v>2</v>
      </c>
      <c r="H154">
        <v>27</v>
      </c>
      <c r="I154">
        <v>14</v>
      </c>
      <c r="J154">
        <v>2</v>
      </c>
      <c r="K154">
        <v>36</v>
      </c>
      <c r="L154" s="1">
        <v>42371</v>
      </c>
      <c r="M154" t="s">
        <v>2</v>
      </c>
      <c r="N154">
        <f>SUM(Table5[[#This Row],[CAUGHT IN]:[Other Accidents]])</f>
        <v>538</v>
      </c>
    </row>
    <row r="155" spans="1:14" x14ac:dyDescent="0.3">
      <c r="A155" t="s">
        <v>15</v>
      </c>
      <c r="B155">
        <v>26</v>
      </c>
      <c r="C155">
        <v>144</v>
      </c>
      <c r="D155">
        <v>105</v>
      </c>
      <c r="E155">
        <v>120</v>
      </c>
      <c r="F155">
        <v>140</v>
      </c>
      <c r="G155">
        <v>1</v>
      </c>
      <c r="H155">
        <v>28</v>
      </c>
      <c r="I155">
        <v>26</v>
      </c>
      <c r="J155">
        <v>2</v>
      </c>
      <c r="K155">
        <v>33</v>
      </c>
      <c r="L155" s="1">
        <v>42432</v>
      </c>
      <c r="M155" t="s">
        <v>24</v>
      </c>
      <c r="N155">
        <f>SUM(Table5[[#This Row],[CAUGHT IN]:[Other Accidents]])</f>
        <v>625</v>
      </c>
    </row>
    <row r="156" spans="1:14" x14ac:dyDescent="0.3">
      <c r="A156" t="s">
        <v>15</v>
      </c>
      <c r="B156">
        <v>9</v>
      </c>
      <c r="C156">
        <v>157</v>
      </c>
      <c r="D156">
        <v>84</v>
      </c>
      <c r="E156">
        <v>97</v>
      </c>
      <c r="F156">
        <v>82</v>
      </c>
      <c r="G156">
        <v>0</v>
      </c>
      <c r="H156">
        <v>23</v>
      </c>
      <c r="I156">
        <v>18</v>
      </c>
      <c r="J156">
        <v>2</v>
      </c>
      <c r="K156">
        <v>33</v>
      </c>
      <c r="L156" s="1">
        <v>42558</v>
      </c>
      <c r="M156" t="s">
        <v>25</v>
      </c>
      <c r="N156">
        <f>SUM(Table5[[#This Row],[CAUGHT IN]:[Other Accidents]])</f>
        <v>505</v>
      </c>
    </row>
    <row r="157" spans="1:14" x14ac:dyDescent="0.3">
      <c r="A157" t="s">
        <v>15</v>
      </c>
      <c r="B157">
        <v>13</v>
      </c>
      <c r="C157">
        <v>149</v>
      </c>
      <c r="D157">
        <v>70</v>
      </c>
      <c r="E157">
        <v>116</v>
      </c>
      <c r="F157">
        <v>51</v>
      </c>
      <c r="G157">
        <v>0</v>
      </c>
      <c r="H157">
        <v>17</v>
      </c>
      <c r="I157">
        <v>7</v>
      </c>
      <c r="J157">
        <v>9</v>
      </c>
      <c r="K157">
        <v>50</v>
      </c>
      <c r="L157" s="1">
        <v>42654</v>
      </c>
      <c r="M157" t="s">
        <v>26</v>
      </c>
      <c r="N157">
        <f>SUM(Table5[[#This Row],[CAUGHT IN]:[Other Accidents]])</f>
        <v>482</v>
      </c>
    </row>
    <row r="158" spans="1:14" x14ac:dyDescent="0.3">
      <c r="A158" t="s">
        <v>15</v>
      </c>
      <c r="B158">
        <v>10</v>
      </c>
      <c r="C158">
        <v>161</v>
      </c>
      <c r="D158">
        <v>82</v>
      </c>
      <c r="E158">
        <v>94</v>
      </c>
      <c r="F158">
        <v>67</v>
      </c>
      <c r="G158">
        <v>1</v>
      </c>
      <c r="H158">
        <v>29</v>
      </c>
      <c r="I158">
        <v>13</v>
      </c>
      <c r="J158">
        <v>3</v>
      </c>
      <c r="K158">
        <v>35</v>
      </c>
      <c r="L158" s="1">
        <v>42371</v>
      </c>
      <c r="M158" t="s">
        <v>2</v>
      </c>
      <c r="N158">
        <f>SUM(Table5[[#This Row],[CAUGHT IN]:[Other Accidents]])</f>
        <v>495</v>
      </c>
    </row>
    <row r="159" spans="1:14" x14ac:dyDescent="0.3">
      <c r="A159" t="s">
        <v>15</v>
      </c>
      <c r="B159">
        <v>8</v>
      </c>
      <c r="C159">
        <v>81</v>
      </c>
      <c r="D159">
        <v>53</v>
      </c>
      <c r="E159">
        <v>71</v>
      </c>
      <c r="F159">
        <v>65</v>
      </c>
      <c r="G159">
        <v>1</v>
      </c>
      <c r="H159">
        <v>10</v>
      </c>
      <c r="I159">
        <v>8</v>
      </c>
      <c r="J159">
        <v>0</v>
      </c>
      <c r="K159">
        <v>18</v>
      </c>
      <c r="L159" s="1">
        <v>42432</v>
      </c>
      <c r="M159" t="s">
        <v>24</v>
      </c>
      <c r="N159">
        <f>SUM(Table5[[#This Row],[CAUGHT IN]:[Other Accidents]])</f>
        <v>315</v>
      </c>
    </row>
    <row r="160" spans="1:14" x14ac:dyDescent="0.3">
      <c r="A160" t="s">
        <v>15</v>
      </c>
      <c r="B160">
        <v>9</v>
      </c>
      <c r="C160">
        <v>81</v>
      </c>
      <c r="D160">
        <v>46</v>
      </c>
      <c r="E160">
        <v>64</v>
      </c>
      <c r="F160">
        <v>22</v>
      </c>
      <c r="G160">
        <v>5</v>
      </c>
      <c r="H160">
        <v>16</v>
      </c>
      <c r="I160">
        <v>8</v>
      </c>
      <c r="J160">
        <v>3</v>
      </c>
      <c r="K160">
        <v>17</v>
      </c>
      <c r="L160" s="1">
        <v>42975</v>
      </c>
      <c r="M160" t="s">
        <v>25</v>
      </c>
      <c r="N160">
        <f>SUM(Table5[[#This Row],[CAUGHT IN]:[Other Accidents]])</f>
        <v>271</v>
      </c>
    </row>
    <row r="161" spans="1:14" x14ac:dyDescent="0.3">
      <c r="A161" t="s">
        <v>15</v>
      </c>
      <c r="B161">
        <v>9</v>
      </c>
      <c r="C161">
        <v>139</v>
      </c>
      <c r="D161">
        <v>84</v>
      </c>
      <c r="E161">
        <v>97</v>
      </c>
      <c r="F161">
        <v>28</v>
      </c>
      <c r="G161">
        <v>0</v>
      </c>
      <c r="H161">
        <v>19</v>
      </c>
      <c r="I161">
        <v>12</v>
      </c>
      <c r="J161">
        <v>5</v>
      </c>
      <c r="K161">
        <v>31</v>
      </c>
      <c r="L161" s="1">
        <v>42975</v>
      </c>
      <c r="M161" t="s">
        <v>26</v>
      </c>
      <c r="N161">
        <f>SUM(Table5[[#This Row],[CAUGHT IN]:[Other Accidents]])</f>
        <v>424</v>
      </c>
    </row>
    <row r="162" spans="1:14" x14ac:dyDescent="0.3">
      <c r="A162" t="s">
        <v>15</v>
      </c>
      <c r="B162">
        <v>7</v>
      </c>
      <c r="C162">
        <v>156</v>
      </c>
      <c r="D162">
        <v>72</v>
      </c>
      <c r="E162">
        <v>96</v>
      </c>
      <c r="F162">
        <v>34</v>
      </c>
      <c r="G162">
        <v>1</v>
      </c>
      <c r="H162">
        <v>22</v>
      </c>
      <c r="I162">
        <v>14</v>
      </c>
      <c r="J162">
        <v>7</v>
      </c>
      <c r="K162">
        <v>31</v>
      </c>
      <c r="L162" s="1">
        <v>42371</v>
      </c>
      <c r="M162" t="s">
        <v>2</v>
      </c>
      <c r="N162">
        <f>SUM(Table5[[#This Row],[CAUGHT IN]:[Other Accidents]])</f>
        <v>440</v>
      </c>
    </row>
    <row r="163" spans="1:14" x14ac:dyDescent="0.3">
      <c r="A163" t="s">
        <v>15</v>
      </c>
      <c r="B163">
        <v>7</v>
      </c>
      <c r="C163">
        <v>136</v>
      </c>
      <c r="D163">
        <v>63</v>
      </c>
      <c r="E163">
        <v>100</v>
      </c>
      <c r="F163">
        <v>22</v>
      </c>
      <c r="G163">
        <v>0</v>
      </c>
      <c r="H163">
        <v>15</v>
      </c>
      <c r="I163">
        <v>19</v>
      </c>
      <c r="J163">
        <v>2</v>
      </c>
      <c r="K163">
        <v>29</v>
      </c>
      <c r="L163" s="1">
        <v>42432</v>
      </c>
      <c r="M163" t="s">
        <v>24</v>
      </c>
      <c r="N163">
        <f>SUM(Table5[[#This Row],[CAUGHT IN]:[Other Accidents]])</f>
        <v>393</v>
      </c>
    </row>
    <row r="164" spans="1:14" x14ac:dyDescent="0.3">
      <c r="A164" t="s">
        <v>15</v>
      </c>
      <c r="B164">
        <v>11</v>
      </c>
      <c r="C164">
        <v>131</v>
      </c>
      <c r="D164">
        <v>70</v>
      </c>
      <c r="E164">
        <v>80</v>
      </c>
      <c r="F164">
        <v>15</v>
      </c>
      <c r="G164">
        <v>0</v>
      </c>
      <c r="H164">
        <v>20</v>
      </c>
      <c r="I164">
        <v>10</v>
      </c>
      <c r="J164">
        <v>5</v>
      </c>
      <c r="K164">
        <v>30</v>
      </c>
      <c r="L164" s="1">
        <v>42432</v>
      </c>
      <c r="M164" t="s">
        <v>24</v>
      </c>
      <c r="N164">
        <f>SUM(Table5[[#This Row],[CAUGHT IN]:[Other Accidents]])</f>
        <v>372</v>
      </c>
    </row>
    <row r="165" spans="1:14" x14ac:dyDescent="0.3">
      <c r="A165" t="s">
        <v>15</v>
      </c>
      <c r="B165">
        <v>7</v>
      </c>
      <c r="C165">
        <v>107</v>
      </c>
      <c r="D165">
        <v>73</v>
      </c>
      <c r="E165">
        <v>63</v>
      </c>
      <c r="F165">
        <v>26</v>
      </c>
      <c r="G165">
        <v>2</v>
      </c>
      <c r="H165">
        <v>8</v>
      </c>
      <c r="I165">
        <v>13</v>
      </c>
      <c r="J165">
        <v>2</v>
      </c>
      <c r="K165">
        <v>17</v>
      </c>
      <c r="L165" s="1">
        <v>42432</v>
      </c>
      <c r="M165" t="s">
        <v>24</v>
      </c>
      <c r="N165">
        <f>SUM(Table5[[#This Row],[CAUGHT IN]:[Other Accidents]])</f>
        <v>318</v>
      </c>
    </row>
    <row r="166" spans="1:14" x14ac:dyDescent="0.3">
      <c r="A166" t="s">
        <v>8</v>
      </c>
      <c r="B166">
        <v>18</v>
      </c>
      <c r="C166">
        <v>137</v>
      </c>
      <c r="D166">
        <v>87</v>
      </c>
      <c r="E166">
        <v>236</v>
      </c>
      <c r="F166">
        <v>32</v>
      </c>
      <c r="G166">
        <v>9</v>
      </c>
      <c r="H166">
        <v>34</v>
      </c>
      <c r="I166">
        <v>12</v>
      </c>
      <c r="J166">
        <v>2</v>
      </c>
      <c r="K166">
        <v>58</v>
      </c>
      <c r="L166" s="1">
        <v>42371</v>
      </c>
      <c r="M166" t="s">
        <v>2</v>
      </c>
      <c r="N166">
        <f>SUM(Table5[[#This Row],[CAUGHT IN]:[Other Accidents]])</f>
        <v>625</v>
      </c>
    </row>
    <row r="167" spans="1:14" x14ac:dyDescent="0.3">
      <c r="A167" t="s">
        <v>8</v>
      </c>
      <c r="B167">
        <v>13</v>
      </c>
      <c r="C167">
        <v>142</v>
      </c>
      <c r="D167">
        <v>78</v>
      </c>
      <c r="E167">
        <v>176</v>
      </c>
      <c r="F167">
        <v>31</v>
      </c>
      <c r="G167">
        <v>4</v>
      </c>
      <c r="H167">
        <v>31</v>
      </c>
      <c r="I167">
        <v>8</v>
      </c>
      <c r="J167">
        <v>3</v>
      </c>
      <c r="K167">
        <v>76</v>
      </c>
      <c r="L167" s="1">
        <v>42432</v>
      </c>
      <c r="M167" t="s">
        <v>24</v>
      </c>
      <c r="N167">
        <f>SUM(Table5[[#This Row],[CAUGHT IN]:[Other Accidents]])</f>
        <v>562</v>
      </c>
    </row>
    <row r="168" spans="1:14" x14ac:dyDescent="0.3">
      <c r="A168" t="s">
        <v>8</v>
      </c>
      <c r="B168">
        <v>10</v>
      </c>
      <c r="C168">
        <v>122</v>
      </c>
      <c r="D168">
        <v>60</v>
      </c>
      <c r="E168">
        <v>173</v>
      </c>
      <c r="F168">
        <v>35</v>
      </c>
      <c r="G168">
        <v>5</v>
      </c>
      <c r="H168">
        <v>22</v>
      </c>
      <c r="I168">
        <v>4</v>
      </c>
      <c r="J168">
        <v>4</v>
      </c>
      <c r="K168">
        <v>54</v>
      </c>
      <c r="L168" s="1">
        <v>42558</v>
      </c>
      <c r="M168" t="s">
        <v>25</v>
      </c>
      <c r="N168">
        <f>SUM(Table5[[#This Row],[CAUGHT IN]:[Other Accidents]])</f>
        <v>489</v>
      </c>
    </row>
    <row r="169" spans="1:14" x14ac:dyDescent="0.3">
      <c r="A169" t="s">
        <v>8</v>
      </c>
      <c r="B169">
        <v>4</v>
      </c>
      <c r="C169">
        <v>129</v>
      </c>
      <c r="D169">
        <v>70</v>
      </c>
      <c r="E169">
        <v>196</v>
      </c>
      <c r="F169">
        <v>37</v>
      </c>
      <c r="G169">
        <v>9</v>
      </c>
      <c r="H169">
        <v>14</v>
      </c>
      <c r="I169">
        <v>6</v>
      </c>
      <c r="J169">
        <v>2</v>
      </c>
      <c r="K169">
        <v>50</v>
      </c>
      <c r="L169" s="1">
        <v>42654</v>
      </c>
      <c r="M169" t="s">
        <v>26</v>
      </c>
      <c r="N169">
        <f>SUM(Table5[[#This Row],[CAUGHT IN]:[Other Accidents]])</f>
        <v>517</v>
      </c>
    </row>
    <row r="170" spans="1:14" x14ac:dyDescent="0.3">
      <c r="A170" t="s">
        <v>8</v>
      </c>
      <c r="B170">
        <v>8</v>
      </c>
      <c r="C170">
        <v>122</v>
      </c>
      <c r="D170">
        <v>62</v>
      </c>
      <c r="E170">
        <v>237</v>
      </c>
      <c r="F170">
        <v>28</v>
      </c>
      <c r="G170">
        <v>4</v>
      </c>
      <c r="H170">
        <v>25</v>
      </c>
      <c r="I170">
        <v>5</v>
      </c>
      <c r="J170">
        <v>1</v>
      </c>
      <c r="K170">
        <v>43</v>
      </c>
      <c r="L170" s="1">
        <v>42371</v>
      </c>
      <c r="M170" t="s">
        <v>2</v>
      </c>
      <c r="N170">
        <f>SUM(Table5[[#This Row],[CAUGHT IN]:[Other Accidents]])</f>
        <v>535</v>
      </c>
    </row>
    <row r="171" spans="1:14" x14ac:dyDescent="0.3">
      <c r="A171" t="s">
        <v>8</v>
      </c>
      <c r="B171">
        <v>9</v>
      </c>
      <c r="C171">
        <v>102</v>
      </c>
      <c r="D171">
        <v>47</v>
      </c>
      <c r="E171">
        <v>168</v>
      </c>
      <c r="F171">
        <v>9</v>
      </c>
      <c r="G171">
        <v>2</v>
      </c>
      <c r="H171">
        <v>25</v>
      </c>
      <c r="I171">
        <v>4</v>
      </c>
      <c r="J171">
        <v>0</v>
      </c>
      <c r="K171">
        <v>32</v>
      </c>
      <c r="L171" s="1">
        <v>42432</v>
      </c>
      <c r="M171" t="s">
        <v>24</v>
      </c>
      <c r="N171">
        <f>SUM(Table5[[#This Row],[CAUGHT IN]:[Other Accidents]])</f>
        <v>398</v>
      </c>
    </row>
    <row r="172" spans="1:14" x14ac:dyDescent="0.3">
      <c r="A172" t="s">
        <v>8</v>
      </c>
      <c r="B172">
        <v>15</v>
      </c>
      <c r="C172">
        <v>111</v>
      </c>
      <c r="D172">
        <v>56</v>
      </c>
      <c r="E172">
        <v>156</v>
      </c>
      <c r="F172">
        <v>15</v>
      </c>
      <c r="G172">
        <v>3</v>
      </c>
      <c r="H172">
        <v>18</v>
      </c>
      <c r="I172">
        <v>12</v>
      </c>
      <c r="J172">
        <v>1</v>
      </c>
      <c r="K172">
        <v>28</v>
      </c>
      <c r="L172" s="1">
        <v>42968</v>
      </c>
      <c r="M172" t="s">
        <v>25</v>
      </c>
      <c r="N172">
        <f>SUM(Table5[[#This Row],[CAUGHT IN]:[Other Accidents]])</f>
        <v>415</v>
      </c>
    </row>
    <row r="173" spans="1:14" x14ac:dyDescent="0.3">
      <c r="A173" t="s">
        <v>8</v>
      </c>
      <c r="B173">
        <v>11</v>
      </c>
      <c r="C173">
        <v>226</v>
      </c>
      <c r="D173">
        <v>66</v>
      </c>
      <c r="E173">
        <v>204</v>
      </c>
      <c r="F173">
        <v>15</v>
      </c>
      <c r="G173">
        <v>10</v>
      </c>
      <c r="H173">
        <v>15</v>
      </c>
      <c r="I173">
        <v>9</v>
      </c>
      <c r="J173">
        <v>3</v>
      </c>
      <c r="K173">
        <v>40</v>
      </c>
      <c r="L173" s="1">
        <v>42968</v>
      </c>
      <c r="M173" t="s">
        <v>26</v>
      </c>
      <c r="N173">
        <f>SUM(Table5[[#This Row],[CAUGHT IN]:[Other Accidents]])</f>
        <v>599</v>
      </c>
    </row>
    <row r="174" spans="1:14" x14ac:dyDescent="0.3">
      <c r="A174" t="s">
        <v>8</v>
      </c>
      <c r="B174">
        <v>27</v>
      </c>
      <c r="C174">
        <v>231</v>
      </c>
      <c r="D174">
        <v>61</v>
      </c>
      <c r="E174">
        <v>239</v>
      </c>
      <c r="F174">
        <v>16</v>
      </c>
      <c r="G174">
        <v>16</v>
      </c>
      <c r="H174">
        <v>24</v>
      </c>
      <c r="I174">
        <v>11</v>
      </c>
      <c r="J174">
        <v>2</v>
      </c>
      <c r="K174">
        <v>46</v>
      </c>
      <c r="L174" s="1">
        <v>42371</v>
      </c>
      <c r="M174" t="s">
        <v>2</v>
      </c>
      <c r="N174">
        <f>SUM(Table5[[#This Row],[CAUGHT IN]:[Other Accidents]])</f>
        <v>673</v>
      </c>
    </row>
    <row r="175" spans="1:14" x14ac:dyDescent="0.3">
      <c r="A175" t="s">
        <v>8</v>
      </c>
      <c r="B175">
        <v>8</v>
      </c>
      <c r="C175">
        <v>159</v>
      </c>
      <c r="D175">
        <v>50</v>
      </c>
      <c r="E175">
        <v>169</v>
      </c>
      <c r="F175">
        <v>11</v>
      </c>
      <c r="G175">
        <v>29</v>
      </c>
      <c r="H175">
        <v>26</v>
      </c>
      <c r="I175">
        <v>4</v>
      </c>
      <c r="J175">
        <v>4</v>
      </c>
      <c r="K175">
        <v>44</v>
      </c>
      <c r="L175" s="1">
        <v>42432</v>
      </c>
      <c r="M175" t="s">
        <v>24</v>
      </c>
      <c r="N175">
        <f>SUM(Table5[[#This Row],[CAUGHT IN]:[Other Accidents]])</f>
        <v>504</v>
      </c>
    </row>
    <row r="176" spans="1:14" x14ac:dyDescent="0.3">
      <c r="A176" t="s">
        <v>8</v>
      </c>
      <c r="B176">
        <v>7</v>
      </c>
      <c r="C176">
        <v>198</v>
      </c>
      <c r="D176">
        <v>42</v>
      </c>
      <c r="E176">
        <v>197</v>
      </c>
      <c r="F176">
        <v>13</v>
      </c>
      <c r="G176">
        <v>36</v>
      </c>
      <c r="H176">
        <v>17</v>
      </c>
      <c r="I176">
        <v>11</v>
      </c>
      <c r="J176">
        <v>5</v>
      </c>
      <c r="K176">
        <v>40</v>
      </c>
      <c r="L176" s="1">
        <v>42432</v>
      </c>
      <c r="M176" t="s">
        <v>24</v>
      </c>
      <c r="N176">
        <f>SUM(Table5[[#This Row],[CAUGHT IN]:[Other Accidents]])</f>
        <v>566</v>
      </c>
    </row>
    <row r="177" spans="1:14" x14ac:dyDescent="0.3">
      <c r="A177" t="s">
        <v>8</v>
      </c>
      <c r="B177">
        <v>8</v>
      </c>
      <c r="C177">
        <v>201</v>
      </c>
      <c r="D177">
        <v>51</v>
      </c>
      <c r="E177">
        <v>177</v>
      </c>
      <c r="F177">
        <v>7</v>
      </c>
      <c r="G177">
        <v>13</v>
      </c>
      <c r="H177">
        <v>16</v>
      </c>
      <c r="I177">
        <v>2</v>
      </c>
      <c r="J177">
        <v>1</v>
      </c>
      <c r="K177">
        <v>33</v>
      </c>
      <c r="L177" s="1">
        <v>42432</v>
      </c>
      <c r="M177" t="s">
        <v>24</v>
      </c>
      <c r="N177">
        <f>SUM(Table5[[#This Row],[CAUGHT IN]:[Other Accidents]])</f>
        <v>509</v>
      </c>
    </row>
    <row r="178" spans="1:14" x14ac:dyDescent="0.3">
      <c r="A178" t="s">
        <v>7</v>
      </c>
      <c r="B178">
        <v>30</v>
      </c>
      <c r="C178">
        <v>913</v>
      </c>
      <c r="D178">
        <v>526</v>
      </c>
      <c r="E178">
        <v>596</v>
      </c>
      <c r="F178">
        <v>24</v>
      </c>
      <c r="G178">
        <v>127</v>
      </c>
      <c r="H178">
        <v>73</v>
      </c>
      <c r="I178">
        <v>15</v>
      </c>
      <c r="J178">
        <v>10</v>
      </c>
      <c r="K178">
        <v>298</v>
      </c>
      <c r="L178" s="1">
        <v>42371</v>
      </c>
      <c r="M178" t="s">
        <v>2</v>
      </c>
      <c r="N178">
        <f>SUM(Table5[[#This Row],[CAUGHT IN]:[Other Accidents]])</f>
        <v>2612</v>
      </c>
    </row>
    <row r="179" spans="1:14" x14ac:dyDescent="0.3">
      <c r="A179" t="s">
        <v>7</v>
      </c>
      <c r="B179">
        <v>22</v>
      </c>
      <c r="C179">
        <v>555</v>
      </c>
      <c r="D179">
        <v>426</v>
      </c>
      <c r="E179">
        <v>343</v>
      </c>
      <c r="F179">
        <v>16</v>
      </c>
      <c r="G179">
        <v>135</v>
      </c>
      <c r="H179">
        <v>65</v>
      </c>
      <c r="I179">
        <v>32</v>
      </c>
      <c r="J179">
        <v>17</v>
      </c>
      <c r="K179">
        <v>309</v>
      </c>
      <c r="L179" s="1">
        <v>42432</v>
      </c>
      <c r="M179" t="s">
        <v>24</v>
      </c>
      <c r="N179">
        <f>SUM(Table5[[#This Row],[CAUGHT IN]:[Other Accidents]])</f>
        <v>1920</v>
      </c>
    </row>
    <row r="180" spans="1:14" x14ac:dyDescent="0.3">
      <c r="A180" t="s">
        <v>7</v>
      </c>
      <c r="B180">
        <v>8</v>
      </c>
      <c r="C180">
        <v>246</v>
      </c>
      <c r="D180">
        <v>220</v>
      </c>
      <c r="E180">
        <v>219</v>
      </c>
      <c r="F180">
        <v>12</v>
      </c>
      <c r="G180">
        <v>16</v>
      </c>
      <c r="H180">
        <v>35</v>
      </c>
      <c r="I180">
        <v>12</v>
      </c>
      <c r="J180">
        <v>9</v>
      </c>
      <c r="K180">
        <v>124</v>
      </c>
      <c r="L180" s="1">
        <v>42558</v>
      </c>
      <c r="M180" t="s">
        <v>25</v>
      </c>
      <c r="N180">
        <f>SUM(Table5[[#This Row],[CAUGHT IN]:[Other Accidents]])</f>
        <v>901</v>
      </c>
    </row>
    <row r="181" spans="1:14" x14ac:dyDescent="0.3">
      <c r="A181" t="s">
        <v>7</v>
      </c>
      <c r="B181">
        <v>6</v>
      </c>
      <c r="C181">
        <v>192</v>
      </c>
      <c r="D181">
        <v>185</v>
      </c>
      <c r="E181">
        <v>224</v>
      </c>
      <c r="F181">
        <v>27</v>
      </c>
      <c r="G181">
        <v>17</v>
      </c>
      <c r="H181">
        <v>65</v>
      </c>
      <c r="I181">
        <v>10</v>
      </c>
      <c r="J181">
        <v>8</v>
      </c>
      <c r="K181">
        <v>101</v>
      </c>
      <c r="L181" s="1">
        <v>42654</v>
      </c>
      <c r="M181" t="s">
        <v>26</v>
      </c>
      <c r="N181">
        <f>SUM(Table5[[#This Row],[CAUGHT IN]:[Other Accidents]])</f>
        <v>835</v>
      </c>
    </row>
    <row r="182" spans="1:14" x14ac:dyDescent="0.3">
      <c r="A182" t="s">
        <v>7</v>
      </c>
      <c r="B182">
        <v>8</v>
      </c>
      <c r="C182">
        <v>299</v>
      </c>
      <c r="D182">
        <v>206</v>
      </c>
      <c r="E182">
        <v>274</v>
      </c>
      <c r="F182">
        <v>24</v>
      </c>
      <c r="G182">
        <v>53</v>
      </c>
      <c r="H182">
        <v>47</v>
      </c>
      <c r="I182">
        <v>17</v>
      </c>
      <c r="J182">
        <v>6</v>
      </c>
      <c r="K182">
        <v>70</v>
      </c>
      <c r="L182" s="1">
        <v>42371</v>
      </c>
      <c r="M182" t="s">
        <v>2</v>
      </c>
      <c r="N182">
        <f>SUM(Table5[[#This Row],[CAUGHT IN]:[Other Accidents]])</f>
        <v>1004</v>
      </c>
    </row>
    <row r="183" spans="1:14" x14ac:dyDescent="0.3">
      <c r="A183" t="s">
        <v>7</v>
      </c>
      <c r="B183">
        <v>12</v>
      </c>
      <c r="C183">
        <v>296</v>
      </c>
      <c r="D183">
        <v>138</v>
      </c>
      <c r="E183">
        <v>204</v>
      </c>
      <c r="F183">
        <v>15</v>
      </c>
      <c r="G183">
        <v>146</v>
      </c>
      <c r="H183">
        <v>44</v>
      </c>
      <c r="I183">
        <v>17</v>
      </c>
      <c r="J183">
        <v>2</v>
      </c>
      <c r="K183">
        <v>79</v>
      </c>
      <c r="L183" s="1">
        <v>42432</v>
      </c>
      <c r="M183" t="s">
        <v>24</v>
      </c>
      <c r="N183">
        <f>SUM(Table5[[#This Row],[CAUGHT IN]:[Other Accidents]])</f>
        <v>953</v>
      </c>
    </row>
    <row r="184" spans="1:14" x14ac:dyDescent="0.3">
      <c r="A184" t="s">
        <v>7</v>
      </c>
      <c r="B184">
        <v>11</v>
      </c>
      <c r="C184">
        <v>170</v>
      </c>
      <c r="D184">
        <v>113</v>
      </c>
      <c r="E184">
        <v>193</v>
      </c>
      <c r="F184">
        <v>8</v>
      </c>
      <c r="G184">
        <v>23</v>
      </c>
      <c r="H184">
        <v>40</v>
      </c>
      <c r="I184">
        <v>15</v>
      </c>
      <c r="J184">
        <v>5</v>
      </c>
      <c r="K184">
        <v>66</v>
      </c>
      <c r="L184" s="1">
        <v>42967</v>
      </c>
      <c r="M184" t="s">
        <v>25</v>
      </c>
      <c r="N184">
        <f>SUM(Table5[[#This Row],[CAUGHT IN]:[Other Accidents]])</f>
        <v>644</v>
      </c>
    </row>
    <row r="185" spans="1:14" x14ac:dyDescent="0.3">
      <c r="A185" t="s">
        <v>7</v>
      </c>
      <c r="B185">
        <v>4</v>
      </c>
      <c r="C185">
        <v>237</v>
      </c>
      <c r="D185">
        <v>152</v>
      </c>
      <c r="E185">
        <v>212</v>
      </c>
      <c r="F185">
        <v>10</v>
      </c>
      <c r="G185">
        <v>26</v>
      </c>
      <c r="H185">
        <v>27</v>
      </c>
      <c r="I185">
        <v>16</v>
      </c>
      <c r="J185">
        <v>2</v>
      </c>
      <c r="K185">
        <v>70</v>
      </c>
      <c r="L185" s="1">
        <v>42967</v>
      </c>
      <c r="M185" t="s">
        <v>26</v>
      </c>
      <c r="N185">
        <f>SUM(Table5[[#This Row],[CAUGHT IN]:[Other Accidents]])</f>
        <v>756</v>
      </c>
    </row>
    <row r="186" spans="1:14" x14ac:dyDescent="0.3">
      <c r="A186" t="s">
        <v>7</v>
      </c>
      <c r="B186">
        <v>1</v>
      </c>
      <c r="C186">
        <v>275</v>
      </c>
      <c r="D186">
        <v>246</v>
      </c>
      <c r="E186">
        <v>191</v>
      </c>
      <c r="F186">
        <v>12</v>
      </c>
      <c r="G186">
        <v>30</v>
      </c>
      <c r="H186">
        <v>74</v>
      </c>
      <c r="I186">
        <v>17</v>
      </c>
      <c r="J186">
        <v>3</v>
      </c>
      <c r="K186">
        <v>61</v>
      </c>
      <c r="L186" s="1">
        <v>42371</v>
      </c>
      <c r="M186" t="s">
        <v>2</v>
      </c>
      <c r="N186">
        <f>SUM(Table5[[#This Row],[CAUGHT IN]:[Other Accidents]])</f>
        <v>910</v>
      </c>
    </row>
    <row r="187" spans="1:14" x14ac:dyDescent="0.3">
      <c r="A187" t="s">
        <v>7</v>
      </c>
      <c r="B187">
        <v>3</v>
      </c>
      <c r="C187">
        <v>283</v>
      </c>
      <c r="D187">
        <v>116</v>
      </c>
      <c r="E187">
        <v>169</v>
      </c>
      <c r="F187">
        <v>5</v>
      </c>
      <c r="G187">
        <v>63</v>
      </c>
      <c r="H187">
        <v>47</v>
      </c>
      <c r="I187">
        <v>10</v>
      </c>
      <c r="J187">
        <v>1</v>
      </c>
      <c r="K187">
        <v>91</v>
      </c>
      <c r="L187" s="1">
        <v>42432</v>
      </c>
      <c r="M187" t="s">
        <v>24</v>
      </c>
      <c r="N187">
        <f>SUM(Table5[[#This Row],[CAUGHT IN]:[Other Accidents]])</f>
        <v>788</v>
      </c>
    </row>
    <row r="188" spans="1:14" x14ac:dyDescent="0.3">
      <c r="A188" t="s">
        <v>7</v>
      </c>
      <c r="B188">
        <v>3</v>
      </c>
      <c r="C188">
        <v>153</v>
      </c>
      <c r="D188">
        <v>83</v>
      </c>
      <c r="E188">
        <v>114</v>
      </c>
      <c r="F188">
        <v>12</v>
      </c>
      <c r="G188">
        <v>24</v>
      </c>
      <c r="H188">
        <v>24</v>
      </c>
      <c r="I188">
        <v>14</v>
      </c>
      <c r="J188">
        <v>4</v>
      </c>
      <c r="K188">
        <v>52</v>
      </c>
      <c r="L188" s="1">
        <v>42432</v>
      </c>
      <c r="M188" t="s">
        <v>24</v>
      </c>
      <c r="N188">
        <f>SUM(Table5[[#This Row],[CAUGHT IN]:[Other Accidents]])</f>
        <v>483</v>
      </c>
    </row>
    <row r="189" spans="1:14" x14ac:dyDescent="0.3">
      <c r="A189" t="s">
        <v>7</v>
      </c>
      <c r="B189">
        <v>1</v>
      </c>
      <c r="C189">
        <v>128</v>
      </c>
      <c r="D189">
        <v>90</v>
      </c>
      <c r="E189">
        <v>159</v>
      </c>
      <c r="F189">
        <v>8</v>
      </c>
      <c r="G189">
        <v>38</v>
      </c>
      <c r="H189">
        <v>17</v>
      </c>
      <c r="I189">
        <v>8</v>
      </c>
      <c r="J189">
        <v>2</v>
      </c>
      <c r="K189">
        <v>73</v>
      </c>
      <c r="L189" s="1">
        <v>42432</v>
      </c>
      <c r="M189" t="s">
        <v>24</v>
      </c>
      <c r="N189">
        <f>SUM(Table5[[#This Row],[CAUGHT IN]:[Other Accidents]])</f>
        <v>524</v>
      </c>
    </row>
    <row r="190" spans="1:14" x14ac:dyDescent="0.3">
      <c r="A190" t="s">
        <v>6</v>
      </c>
      <c r="B190">
        <v>65</v>
      </c>
      <c r="C190">
        <v>862</v>
      </c>
      <c r="D190">
        <v>607</v>
      </c>
      <c r="E190">
        <v>826</v>
      </c>
      <c r="F190">
        <v>101</v>
      </c>
      <c r="G190">
        <v>49</v>
      </c>
      <c r="H190">
        <v>151</v>
      </c>
      <c r="I190">
        <v>52</v>
      </c>
      <c r="J190">
        <v>22</v>
      </c>
      <c r="K190">
        <v>279</v>
      </c>
      <c r="L190" s="1">
        <v>42371</v>
      </c>
      <c r="M190" t="s">
        <v>2</v>
      </c>
      <c r="N190">
        <f>SUM(Table5[[#This Row],[CAUGHT IN]:[Other Accidents]])</f>
        <v>3014</v>
      </c>
    </row>
    <row r="191" spans="1:14" x14ac:dyDescent="0.3">
      <c r="A191" t="s">
        <v>6</v>
      </c>
      <c r="B191">
        <v>47</v>
      </c>
      <c r="C191">
        <v>728</v>
      </c>
      <c r="D191">
        <v>517</v>
      </c>
      <c r="E191">
        <v>630</v>
      </c>
      <c r="F191">
        <v>58</v>
      </c>
      <c r="G191">
        <v>27</v>
      </c>
      <c r="H191">
        <v>165</v>
      </c>
      <c r="I191">
        <v>59</v>
      </c>
      <c r="J191">
        <v>11</v>
      </c>
      <c r="K191">
        <v>237</v>
      </c>
      <c r="L191" s="1">
        <v>42432</v>
      </c>
      <c r="M191" t="s">
        <v>24</v>
      </c>
      <c r="N191">
        <f>SUM(Table5[[#This Row],[CAUGHT IN]:[Other Accidents]])</f>
        <v>2479</v>
      </c>
    </row>
    <row r="192" spans="1:14" x14ac:dyDescent="0.3">
      <c r="A192" t="s">
        <v>6</v>
      </c>
      <c r="B192">
        <v>38</v>
      </c>
      <c r="C192">
        <v>511</v>
      </c>
      <c r="D192">
        <v>409</v>
      </c>
      <c r="E192">
        <v>473</v>
      </c>
      <c r="F192">
        <v>56</v>
      </c>
      <c r="G192">
        <v>28</v>
      </c>
      <c r="H192">
        <v>96</v>
      </c>
      <c r="I192">
        <v>43</v>
      </c>
      <c r="J192">
        <v>11</v>
      </c>
      <c r="K192">
        <v>148</v>
      </c>
      <c r="L192" s="1">
        <v>42558</v>
      </c>
      <c r="M192" t="s">
        <v>25</v>
      </c>
      <c r="N192">
        <f>SUM(Table5[[#This Row],[CAUGHT IN]:[Other Accidents]])</f>
        <v>1813</v>
      </c>
    </row>
    <row r="193" spans="1:14" x14ac:dyDescent="0.3">
      <c r="A193" t="s">
        <v>6</v>
      </c>
      <c r="B193">
        <v>35</v>
      </c>
      <c r="C193">
        <v>603</v>
      </c>
      <c r="D193">
        <v>424</v>
      </c>
      <c r="E193">
        <v>595</v>
      </c>
      <c r="F193">
        <v>56</v>
      </c>
      <c r="G193">
        <v>27</v>
      </c>
      <c r="H193">
        <v>97</v>
      </c>
      <c r="I193">
        <v>53</v>
      </c>
      <c r="J193">
        <v>13</v>
      </c>
      <c r="K193">
        <v>202</v>
      </c>
      <c r="L193" s="1">
        <v>42654</v>
      </c>
      <c r="M193" t="s">
        <v>26</v>
      </c>
      <c r="N193">
        <f>SUM(Table5[[#This Row],[CAUGHT IN]:[Other Accidents]])</f>
        <v>2105</v>
      </c>
    </row>
    <row r="194" spans="1:14" x14ac:dyDescent="0.3">
      <c r="A194" t="s">
        <v>6</v>
      </c>
      <c r="B194">
        <v>50</v>
      </c>
      <c r="C194">
        <v>643</v>
      </c>
      <c r="D194">
        <v>449</v>
      </c>
      <c r="E194">
        <v>626</v>
      </c>
      <c r="F194">
        <v>89</v>
      </c>
      <c r="G194">
        <v>25</v>
      </c>
      <c r="H194">
        <v>87</v>
      </c>
      <c r="I194">
        <v>48</v>
      </c>
      <c r="J194">
        <v>9</v>
      </c>
      <c r="K194">
        <v>216</v>
      </c>
      <c r="L194" s="1">
        <v>42371</v>
      </c>
      <c r="M194" t="s">
        <v>2</v>
      </c>
      <c r="N194">
        <f>SUM(Table5[[#This Row],[CAUGHT IN]:[Other Accidents]])</f>
        <v>2242</v>
      </c>
    </row>
    <row r="195" spans="1:14" x14ac:dyDescent="0.3">
      <c r="A195" t="s">
        <v>6</v>
      </c>
      <c r="B195">
        <v>33</v>
      </c>
      <c r="C195">
        <v>377</v>
      </c>
      <c r="D195">
        <v>314</v>
      </c>
      <c r="E195">
        <v>412</v>
      </c>
      <c r="F195">
        <v>34</v>
      </c>
      <c r="G195">
        <v>13</v>
      </c>
      <c r="H195">
        <v>67</v>
      </c>
      <c r="I195">
        <v>29</v>
      </c>
      <c r="J195">
        <v>7</v>
      </c>
      <c r="K195">
        <v>140</v>
      </c>
      <c r="L195" s="1">
        <v>42432</v>
      </c>
      <c r="M195" t="s">
        <v>24</v>
      </c>
      <c r="N195">
        <f>SUM(Table5[[#This Row],[CAUGHT IN]:[Other Accidents]])</f>
        <v>1426</v>
      </c>
    </row>
    <row r="196" spans="1:14" x14ac:dyDescent="0.3">
      <c r="A196" t="s">
        <v>6</v>
      </c>
      <c r="B196">
        <v>39</v>
      </c>
      <c r="C196">
        <v>456</v>
      </c>
      <c r="D196">
        <v>373</v>
      </c>
      <c r="E196">
        <v>490</v>
      </c>
      <c r="F196">
        <v>19</v>
      </c>
      <c r="G196">
        <v>11</v>
      </c>
      <c r="H196">
        <v>70</v>
      </c>
      <c r="I196">
        <v>33</v>
      </c>
      <c r="J196">
        <v>19</v>
      </c>
      <c r="K196">
        <v>127</v>
      </c>
      <c r="L196" s="1">
        <v>42966</v>
      </c>
      <c r="M196" t="s">
        <v>25</v>
      </c>
      <c r="N196">
        <f>SUM(Table5[[#This Row],[CAUGHT IN]:[Other Accidents]])</f>
        <v>1637</v>
      </c>
    </row>
    <row r="197" spans="1:14" x14ac:dyDescent="0.3">
      <c r="A197" t="s">
        <v>6</v>
      </c>
      <c r="B197">
        <v>34</v>
      </c>
      <c r="C197">
        <v>514</v>
      </c>
      <c r="D197">
        <v>408</v>
      </c>
      <c r="E197">
        <v>570</v>
      </c>
      <c r="F197">
        <v>38</v>
      </c>
      <c r="G197">
        <v>8</v>
      </c>
      <c r="H197">
        <v>111</v>
      </c>
      <c r="I197">
        <v>43</v>
      </c>
      <c r="J197">
        <v>14</v>
      </c>
      <c r="K197">
        <v>165</v>
      </c>
      <c r="L197" s="1">
        <v>42966</v>
      </c>
      <c r="M197" t="s">
        <v>26</v>
      </c>
      <c r="N197">
        <f>SUM(Table5[[#This Row],[CAUGHT IN]:[Other Accidents]])</f>
        <v>1905</v>
      </c>
    </row>
    <row r="198" spans="1:14" x14ac:dyDescent="0.3">
      <c r="A198" t="s">
        <v>6</v>
      </c>
      <c r="B198">
        <v>33</v>
      </c>
      <c r="C198">
        <v>555</v>
      </c>
      <c r="D198">
        <v>379</v>
      </c>
      <c r="E198">
        <v>520</v>
      </c>
      <c r="F198">
        <v>36</v>
      </c>
      <c r="G198">
        <v>12</v>
      </c>
      <c r="H198">
        <v>78</v>
      </c>
      <c r="I198">
        <v>33</v>
      </c>
      <c r="J198">
        <v>13</v>
      </c>
      <c r="K198">
        <v>178</v>
      </c>
      <c r="L198" s="1">
        <v>42371</v>
      </c>
      <c r="M198" t="s">
        <v>2</v>
      </c>
      <c r="N198">
        <f>SUM(Table5[[#This Row],[CAUGHT IN]:[Other Accidents]])</f>
        <v>1837</v>
      </c>
    </row>
    <row r="199" spans="1:14" x14ac:dyDescent="0.3">
      <c r="A199" t="s">
        <v>6</v>
      </c>
      <c r="B199">
        <v>20</v>
      </c>
      <c r="C199">
        <v>434</v>
      </c>
      <c r="D199">
        <v>345</v>
      </c>
      <c r="E199">
        <v>433</v>
      </c>
      <c r="F199">
        <v>25</v>
      </c>
      <c r="G199">
        <v>9</v>
      </c>
      <c r="H199">
        <v>71</v>
      </c>
      <c r="I199">
        <v>35</v>
      </c>
      <c r="J199">
        <v>16</v>
      </c>
      <c r="K199">
        <v>149</v>
      </c>
      <c r="L199" s="1">
        <v>42432</v>
      </c>
      <c r="M199" t="s">
        <v>24</v>
      </c>
      <c r="N199">
        <f>SUM(Table5[[#This Row],[CAUGHT IN]:[Other Accidents]])</f>
        <v>1537</v>
      </c>
    </row>
    <row r="200" spans="1:14" x14ac:dyDescent="0.3">
      <c r="A200" t="s">
        <v>6</v>
      </c>
      <c r="B200">
        <v>33</v>
      </c>
      <c r="C200">
        <v>358</v>
      </c>
      <c r="D200">
        <v>359</v>
      </c>
      <c r="E200">
        <v>441</v>
      </c>
      <c r="F200">
        <v>31</v>
      </c>
      <c r="G200">
        <v>13</v>
      </c>
      <c r="H200">
        <v>75</v>
      </c>
      <c r="I200">
        <v>33</v>
      </c>
      <c r="J200">
        <v>2</v>
      </c>
      <c r="K200">
        <v>165</v>
      </c>
      <c r="L200" s="1">
        <v>42432</v>
      </c>
      <c r="M200" t="s">
        <v>24</v>
      </c>
      <c r="N200">
        <f>SUM(Table5[[#This Row],[CAUGHT IN]:[Other Accidents]])</f>
        <v>1510</v>
      </c>
    </row>
    <row r="201" spans="1:14" x14ac:dyDescent="0.3">
      <c r="A201" t="s">
        <v>6</v>
      </c>
      <c r="B201">
        <v>24</v>
      </c>
      <c r="C201">
        <v>333</v>
      </c>
      <c r="D201">
        <v>255</v>
      </c>
      <c r="E201">
        <v>344</v>
      </c>
      <c r="F201">
        <v>44</v>
      </c>
      <c r="G201">
        <v>7</v>
      </c>
      <c r="H201">
        <v>77</v>
      </c>
      <c r="I201">
        <v>25</v>
      </c>
      <c r="J201">
        <v>8</v>
      </c>
      <c r="K201">
        <v>115</v>
      </c>
      <c r="L201" s="1">
        <v>42432</v>
      </c>
      <c r="M201" t="s">
        <v>24</v>
      </c>
      <c r="N201">
        <f>SUM(Table5[[#This Row],[CAUGHT IN]:[Other Accidents]])</f>
        <v>1232</v>
      </c>
    </row>
    <row r="202" spans="1:14" x14ac:dyDescent="0.3">
      <c r="A202" t="s">
        <v>21</v>
      </c>
      <c r="B202">
        <v>2</v>
      </c>
      <c r="C202">
        <v>10</v>
      </c>
      <c r="D202">
        <v>33</v>
      </c>
      <c r="E202">
        <v>40</v>
      </c>
      <c r="F202">
        <v>10</v>
      </c>
      <c r="G202">
        <v>1</v>
      </c>
      <c r="H202">
        <v>4</v>
      </c>
      <c r="I202">
        <v>7</v>
      </c>
      <c r="J202">
        <v>2</v>
      </c>
      <c r="K202">
        <v>5</v>
      </c>
      <c r="L202" s="1">
        <v>42371</v>
      </c>
      <c r="M202" t="s">
        <v>2</v>
      </c>
      <c r="N202">
        <f>SUM(Table5[[#This Row],[CAUGHT IN]:[Other Accidents]])</f>
        <v>114</v>
      </c>
    </row>
    <row r="203" spans="1:14" x14ac:dyDescent="0.3">
      <c r="A203" t="s">
        <v>21</v>
      </c>
      <c r="B203">
        <v>0</v>
      </c>
      <c r="C203">
        <v>12</v>
      </c>
      <c r="D203">
        <v>13</v>
      </c>
      <c r="E203">
        <v>29</v>
      </c>
      <c r="F203">
        <v>4</v>
      </c>
      <c r="G203">
        <v>1</v>
      </c>
      <c r="H203">
        <v>1</v>
      </c>
      <c r="I203">
        <v>1</v>
      </c>
      <c r="J203">
        <v>4</v>
      </c>
      <c r="K203">
        <v>3</v>
      </c>
      <c r="L203" s="1">
        <v>42432</v>
      </c>
      <c r="M203" t="s">
        <v>24</v>
      </c>
      <c r="N203">
        <f>SUM(Table5[[#This Row],[CAUGHT IN]:[Other Accidents]])</f>
        <v>68</v>
      </c>
    </row>
    <row r="204" spans="1:14" x14ac:dyDescent="0.3">
      <c r="A204" t="s">
        <v>21</v>
      </c>
      <c r="B204">
        <v>0</v>
      </c>
      <c r="C204">
        <v>9</v>
      </c>
      <c r="D204">
        <v>18</v>
      </c>
      <c r="E204">
        <v>20</v>
      </c>
      <c r="F204">
        <v>5</v>
      </c>
      <c r="G204">
        <v>0</v>
      </c>
      <c r="H204">
        <v>1</v>
      </c>
      <c r="I204">
        <v>1</v>
      </c>
      <c r="J204">
        <v>1</v>
      </c>
      <c r="K204">
        <v>4</v>
      </c>
      <c r="L204" s="1">
        <v>42558</v>
      </c>
      <c r="M204" t="s">
        <v>25</v>
      </c>
      <c r="N204">
        <f>SUM(Table5[[#This Row],[CAUGHT IN]:[Other Accidents]])</f>
        <v>59</v>
      </c>
    </row>
    <row r="205" spans="1:14" x14ac:dyDescent="0.3">
      <c r="A205" t="s">
        <v>21</v>
      </c>
      <c r="B205">
        <v>2</v>
      </c>
      <c r="C205">
        <v>7</v>
      </c>
      <c r="D205">
        <v>6</v>
      </c>
      <c r="E205">
        <v>22</v>
      </c>
      <c r="F205">
        <v>2</v>
      </c>
      <c r="G205">
        <v>0</v>
      </c>
      <c r="H205">
        <v>1</v>
      </c>
      <c r="I205">
        <v>2</v>
      </c>
      <c r="J205">
        <v>0</v>
      </c>
      <c r="K205">
        <v>7</v>
      </c>
      <c r="L205" s="1">
        <v>42654</v>
      </c>
      <c r="M205" t="s">
        <v>26</v>
      </c>
      <c r="N205">
        <f>SUM(Table5[[#This Row],[CAUGHT IN]:[Other Accidents]])</f>
        <v>49</v>
      </c>
    </row>
    <row r="206" spans="1:14" x14ac:dyDescent="0.3">
      <c r="A206" t="s">
        <v>21</v>
      </c>
      <c r="B206">
        <v>0</v>
      </c>
      <c r="C206">
        <v>2</v>
      </c>
      <c r="D206">
        <v>9</v>
      </c>
      <c r="E206">
        <v>14</v>
      </c>
      <c r="F206">
        <v>8</v>
      </c>
      <c r="G206">
        <v>0</v>
      </c>
      <c r="H206">
        <v>4</v>
      </c>
      <c r="I206">
        <v>1</v>
      </c>
      <c r="J206">
        <v>0</v>
      </c>
      <c r="K206">
        <v>6</v>
      </c>
      <c r="L206" s="1">
        <v>42371</v>
      </c>
      <c r="M206" t="s">
        <v>2</v>
      </c>
      <c r="N206">
        <f>SUM(Table5[[#This Row],[CAUGHT IN]:[Other Accidents]])</f>
        <v>44</v>
      </c>
    </row>
    <row r="207" spans="1:14" x14ac:dyDescent="0.3">
      <c r="A207" t="s">
        <v>21</v>
      </c>
      <c r="B207">
        <v>0</v>
      </c>
      <c r="C207">
        <v>5</v>
      </c>
      <c r="D207">
        <v>7</v>
      </c>
      <c r="E207">
        <v>11</v>
      </c>
      <c r="F207">
        <v>2</v>
      </c>
      <c r="G207">
        <v>0</v>
      </c>
      <c r="H207">
        <v>1</v>
      </c>
      <c r="I207">
        <v>0</v>
      </c>
      <c r="J207">
        <v>0</v>
      </c>
      <c r="K207">
        <v>1</v>
      </c>
      <c r="L207" s="1">
        <v>42432</v>
      </c>
      <c r="M207" t="s">
        <v>24</v>
      </c>
      <c r="N207">
        <f>SUM(Table5[[#This Row],[CAUGHT IN]:[Other Accidents]])</f>
        <v>27</v>
      </c>
    </row>
    <row r="208" spans="1:14" x14ac:dyDescent="0.3">
      <c r="A208" t="s">
        <v>21</v>
      </c>
      <c r="B208">
        <v>1</v>
      </c>
      <c r="C208">
        <v>3</v>
      </c>
      <c r="D208">
        <v>2</v>
      </c>
      <c r="E208">
        <v>2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1</v>
      </c>
      <c r="L208" s="1">
        <v>42980</v>
      </c>
      <c r="M208" t="s">
        <v>25</v>
      </c>
      <c r="N208">
        <f>SUM(Table5[[#This Row],[CAUGHT IN]:[Other Accidents]])</f>
        <v>12</v>
      </c>
    </row>
    <row r="209" spans="1:14" x14ac:dyDescent="0.3">
      <c r="A209" t="s">
        <v>21</v>
      </c>
      <c r="B209">
        <v>0</v>
      </c>
      <c r="C209">
        <v>5</v>
      </c>
      <c r="D209">
        <v>6</v>
      </c>
      <c r="E209">
        <v>9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4</v>
      </c>
      <c r="L209" s="1">
        <v>42981</v>
      </c>
      <c r="M209" t="s">
        <v>26</v>
      </c>
      <c r="N209">
        <f>SUM(Table5[[#This Row],[CAUGHT IN]:[Other Accidents]])</f>
        <v>26</v>
      </c>
    </row>
    <row r="210" spans="1:14" x14ac:dyDescent="0.3">
      <c r="A210" t="s">
        <v>21</v>
      </c>
      <c r="B210">
        <v>0</v>
      </c>
      <c r="C210">
        <v>8</v>
      </c>
      <c r="D210">
        <v>2</v>
      </c>
      <c r="E210">
        <v>17</v>
      </c>
      <c r="F210">
        <v>3</v>
      </c>
      <c r="G210">
        <v>0</v>
      </c>
      <c r="H210">
        <v>2</v>
      </c>
      <c r="I210">
        <v>0</v>
      </c>
      <c r="J210">
        <v>0</v>
      </c>
      <c r="K210">
        <v>4</v>
      </c>
      <c r="L210" s="1">
        <v>42371</v>
      </c>
      <c r="M210" t="s">
        <v>2</v>
      </c>
      <c r="N210">
        <f>SUM(Table5[[#This Row],[CAUGHT IN]:[Other Accidents]])</f>
        <v>36</v>
      </c>
    </row>
    <row r="211" spans="1:14" x14ac:dyDescent="0.3">
      <c r="A211" t="s">
        <v>21</v>
      </c>
      <c r="B211">
        <v>0</v>
      </c>
      <c r="C211">
        <v>2</v>
      </c>
      <c r="D211">
        <v>5</v>
      </c>
      <c r="E211">
        <v>8</v>
      </c>
      <c r="F211">
        <v>0</v>
      </c>
      <c r="G211">
        <v>0</v>
      </c>
      <c r="H211">
        <v>3</v>
      </c>
      <c r="I211">
        <v>1</v>
      </c>
      <c r="J211">
        <v>0</v>
      </c>
      <c r="K211">
        <v>5</v>
      </c>
      <c r="L211" s="1">
        <v>42432</v>
      </c>
      <c r="M211" t="s">
        <v>24</v>
      </c>
      <c r="N211">
        <f>SUM(Table5[[#This Row],[CAUGHT IN]:[Other Accidents]])</f>
        <v>24</v>
      </c>
    </row>
    <row r="212" spans="1:14" x14ac:dyDescent="0.3">
      <c r="A212" t="s">
        <v>21</v>
      </c>
      <c r="B212">
        <v>0</v>
      </c>
      <c r="C212">
        <v>7</v>
      </c>
      <c r="D212">
        <v>4</v>
      </c>
      <c r="E212">
        <v>12</v>
      </c>
      <c r="F212">
        <v>4</v>
      </c>
      <c r="G212">
        <v>0</v>
      </c>
      <c r="H212">
        <v>1</v>
      </c>
      <c r="I212">
        <v>0</v>
      </c>
      <c r="J212">
        <v>0</v>
      </c>
      <c r="K212">
        <v>8</v>
      </c>
      <c r="L212" s="1">
        <v>42432</v>
      </c>
      <c r="M212" t="s">
        <v>24</v>
      </c>
      <c r="N212">
        <f>SUM(Table5[[#This Row],[CAUGHT IN]:[Other Accidents]])</f>
        <v>36</v>
      </c>
    </row>
    <row r="213" spans="1:14" x14ac:dyDescent="0.3">
      <c r="A213" t="s">
        <v>21</v>
      </c>
      <c r="B213">
        <v>0</v>
      </c>
      <c r="C213">
        <v>2</v>
      </c>
      <c r="D213">
        <v>6</v>
      </c>
      <c r="E213">
        <v>8</v>
      </c>
      <c r="F213">
        <v>3</v>
      </c>
      <c r="G213">
        <v>1</v>
      </c>
      <c r="H213">
        <v>1</v>
      </c>
      <c r="I213">
        <v>0</v>
      </c>
      <c r="J213">
        <v>0</v>
      </c>
      <c r="K213">
        <v>6</v>
      </c>
      <c r="L213" s="1">
        <v>42432</v>
      </c>
      <c r="M213" t="s">
        <v>24</v>
      </c>
      <c r="N213">
        <f>SUM(Table5[[#This Row],[CAUGHT IN]:[Other Accidents]])</f>
        <v>27</v>
      </c>
    </row>
    <row r="214" spans="1:14" x14ac:dyDescent="0.3">
      <c r="A214" t="s">
        <v>17</v>
      </c>
      <c r="B214">
        <v>0</v>
      </c>
      <c r="C214">
        <v>1</v>
      </c>
      <c r="D214">
        <v>0</v>
      </c>
      <c r="E214">
        <v>3</v>
      </c>
      <c r="F214">
        <v>6</v>
      </c>
      <c r="G214">
        <v>0</v>
      </c>
      <c r="H214">
        <v>0</v>
      </c>
      <c r="I214">
        <v>0</v>
      </c>
      <c r="J214">
        <v>1</v>
      </c>
      <c r="K214">
        <v>1</v>
      </c>
      <c r="L214" s="1">
        <v>42371</v>
      </c>
      <c r="M214" t="s">
        <v>2</v>
      </c>
      <c r="N214">
        <f>SUM(Table5[[#This Row],[CAUGHT IN]:[Other Accidents]])</f>
        <v>12</v>
      </c>
    </row>
    <row r="215" spans="1:14" x14ac:dyDescent="0.3">
      <c r="A215" t="s">
        <v>17</v>
      </c>
      <c r="B215">
        <v>0</v>
      </c>
      <c r="C215">
        <v>4</v>
      </c>
      <c r="D215">
        <v>1</v>
      </c>
      <c r="E215">
        <v>2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1</v>
      </c>
      <c r="L215" s="1">
        <v>42432</v>
      </c>
      <c r="M215" t="s">
        <v>24</v>
      </c>
      <c r="N215">
        <f>SUM(Table5[[#This Row],[CAUGHT IN]:[Other Accidents]])</f>
        <v>9</v>
      </c>
    </row>
    <row r="216" spans="1:14" x14ac:dyDescent="0.3">
      <c r="A216" t="s">
        <v>17</v>
      </c>
      <c r="B216">
        <v>0</v>
      </c>
      <c r="C216">
        <v>5</v>
      </c>
      <c r="D216">
        <v>0</v>
      </c>
      <c r="E216">
        <v>2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1</v>
      </c>
      <c r="L216" s="1">
        <v>42558</v>
      </c>
      <c r="M216" t="s">
        <v>25</v>
      </c>
      <c r="N216">
        <f>SUM(Table5[[#This Row],[CAUGHT IN]:[Other Accidents]])</f>
        <v>10</v>
      </c>
    </row>
    <row r="217" spans="1:14" x14ac:dyDescent="0.3">
      <c r="A217" t="s">
        <v>17</v>
      </c>
      <c r="B217">
        <v>0</v>
      </c>
      <c r="C217">
        <v>3</v>
      </c>
      <c r="D217">
        <v>0</v>
      </c>
      <c r="E217">
        <v>1</v>
      </c>
      <c r="F217">
        <v>4</v>
      </c>
      <c r="G217">
        <v>0</v>
      </c>
      <c r="H217">
        <v>0</v>
      </c>
      <c r="I217">
        <v>0</v>
      </c>
      <c r="J217">
        <v>0</v>
      </c>
      <c r="K217">
        <v>1</v>
      </c>
      <c r="L217" s="1">
        <v>42654</v>
      </c>
      <c r="M217" t="s">
        <v>26</v>
      </c>
      <c r="N217">
        <f>SUM(Table5[[#This Row],[CAUGHT IN]:[Other Accidents]])</f>
        <v>9</v>
      </c>
    </row>
    <row r="218" spans="1:14" x14ac:dyDescent="0.3">
      <c r="A218" t="s">
        <v>17</v>
      </c>
      <c r="B218">
        <v>0</v>
      </c>
      <c r="C218">
        <v>1</v>
      </c>
      <c r="D218">
        <v>0</v>
      </c>
      <c r="E218">
        <v>2</v>
      </c>
      <c r="F218">
        <v>6</v>
      </c>
      <c r="G218">
        <v>0</v>
      </c>
      <c r="H218">
        <v>0</v>
      </c>
      <c r="I218">
        <v>1</v>
      </c>
      <c r="J218">
        <v>0</v>
      </c>
      <c r="K218">
        <v>1</v>
      </c>
      <c r="L218" s="1">
        <v>42371</v>
      </c>
      <c r="M218" t="s">
        <v>2</v>
      </c>
      <c r="N218">
        <f>SUM(Table5[[#This Row],[CAUGHT IN]:[Other Accidents]])</f>
        <v>11</v>
      </c>
    </row>
    <row r="219" spans="1:14" x14ac:dyDescent="0.3">
      <c r="A219" t="s">
        <v>17</v>
      </c>
      <c r="B219">
        <v>0</v>
      </c>
      <c r="C219">
        <v>1</v>
      </c>
      <c r="D219">
        <v>0</v>
      </c>
      <c r="E219">
        <v>2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 s="1">
        <v>42432</v>
      </c>
      <c r="M219" t="s">
        <v>24</v>
      </c>
      <c r="N219">
        <f>SUM(Table5[[#This Row],[CAUGHT IN]:[Other Accidents]])</f>
        <v>4</v>
      </c>
    </row>
    <row r="220" spans="1:14" x14ac:dyDescent="0.3">
      <c r="A220" t="s">
        <v>17</v>
      </c>
      <c r="B220">
        <v>0</v>
      </c>
      <c r="C220">
        <v>0</v>
      </c>
      <c r="D220">
        <v>0</v>
      </c>
      <c r="E220">
        <v>2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 s="1">
        <v>42977</v>
      </c>
      <c r="M220" t="s">
        <v>26</v>
      </c>
      <c r="N220">
        <f>SUM(Table5[[#This Row],[CAUGHT IN]:[Other Accidents]])</f>
        <v>4</v>
      </c>
    </row>
    <row r="221" spans="1:14" x14ac:dyDescent="0.3">
      <c r="A221" t="s">
        <v>17</v>
      </c>
      <c r="B221">
        <v>0</v>
      </c>
      <c r="C221">
        <v>1</v>
      </c>
      <c r="D221">
        <v>0</v>
      </c>
      <c r="E221">
        <v>3</v>
      </c>
      <c r="F221">
        <v>1</v>
      </c>
      <c r="G221">
        <v>0</v>
      </c>
      <c r="H221">
        <v>0</v>
      </c>
      <c r="I221">
        <v>0</v>
      </c>
      <c r="J221">
        <v>2</v>
      </c>
      <c r="K221">
        <v>1</v>
      </c>
      <c r="L221" s="1">
        <v>42371</v>
      </c>
      <c r="M221" t="s">
        <v>2</v>
      </c>
      <c r="N221">
        <f>SUM(Table5[[#This Row],[CAUGHT IN]:[Other Accidents]])</f>
        <v>8</v>
      </c>
    </row>
    <row r="222" spans="1:14" x14ac:dyDescent="0.3">
      <c r="A222" t="s">
        <v>17</v>
      </c>
      <c r="B222">
        <v>0</v>
      </c>
      <c r="C222">
        <v>1</v>
      </c>
      <c r="D222">
        <v>1</v>
      </c>
      <c r="E222">
        <v>4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 s="1">
        <v>42432</v>
      </c>
      <c r="M222" t="s">
        <v>24</v>
      </c>
      <c r="N222">
        <f>SUM(Table5[[#This Row],[CAUGHT IN]:[Other Accidents]])</f>
        <v>7</v>
      </c>
    </row>
    <row r="223" spans="1:14" x14ac:dyDescent="0.3">
      <c r="A223" t="s">
        <v>17</v>
      </c>
      <c r="B223">
        <v>1</v>
      </c>
      <c r="C223">
        <v>2</v>
      </c>
      <c r="D223">
        <v>1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s="1">
        <v>42432</v>
      </c>
      <c r="M223" t="s">
        <v>24</v>
      </c>
      <c r="N223">
        <f>SUM(Table5[[#This Row],[CAUGHT IN]:[Other Accidents]])</f>
        <v>6</v>
      </c>
    </row>
    <row r="224" spans="1:14" x14ac:dyDescent="0.3">
      <c r="A224" t="s">
        <v>17</v>
      </c>
      <c r="B224">
        <v>0</v>
      </c>
      <c r="C224">
        <v>1</v>
      </c>
      <c r="D224">
        <v>1</v>
      </c>
      <c r="E224">
        <v>3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 s="1">
        <v>42432</v>
      </c>
      <c r="M224" t="s">
        <v>24</v>
      </c>
      <c r="N224">
        <f>SUM(Table5[[#This Row],[CAUGHT IN]:[Other Accidents]])</f>
        <v>7</v>
      </c>
    </row>
    <row r="225" spans="1:14" x14ac:dyDescent="0.3">
      <c r="A225" t="s">
        <v>1</v>
      </c>
      <c r="B225">
        <v>63</v>
      </c>
      <c r="C225">
        <v>852</v>
      </c>
      <c r="D225">
        <v>531</v>
      </c>
      <c r="E225">
        <v>823</v>
      </c>
      <c r="F225">
        <v>197</v>
      </c>
      <c r="G225">
        <v>38</v>
      </c>
      <c r="H225">
        <v>200</v>
      </c>
      <c r="I225">
        <v>64</v>
      </c>
      <c r="J225">
        <v>29</v>
      </c>
      <c r="K225">
        <v>340</v>
      </c>
      <c r="L225" s="1">
        <v>42371</v>
      </c>
      <c r="M225" t="s">
        <v>2</v>
      </c>
      <c r="N225">
        <f>SUM(Table5[[#This Row],[CAUGHT IN]:[Other Accidents]])</f>
        <v>3137</v>
      </c>
    </row>
    <row r="226" spans="1:14" x14ac:dyDescent="0.3">
      <c r="A226" t="s">
        <v>1</v>
      </c>
      <c r="B226">
        <v>65</v>
      </c>
      <c r="C226">
        <v>724</v>
      </c>
      <c r="D226">
        <v>515</v>
      </c>
      <c r="E226">
        <v>745</v>
      </c>
      <c r="F226">
        <v>176</v>
      </c>
      <c r="G226">
        <v>23</v>
      </c>
      <c r="H226">
        <v>158</v>
      </c>
      <c r="I226">
        <v>49</v>
      </c>
      <c r="J226">
        <v>25</v>
      </c>
      <c r="K226">
        <v>335</v>
      </c>
      <c r="L226" s="1">
        <v>42432</v>
      </c>
      <c r="M226" t="s">
        <v>24</v>
      </c>
      <c r="N226">
        <f>SUM(Table5[[#This Row],[CAUGHT IN]:[Other Accidents]])</f>
        <v>2815</v>
      </c>
    </row>
    <row r="227" spans="1:14" x14ac:dyDescent="0.3">
      <c r="A227" t="s">
        <v>1</v>
      </c>
      <c r="B227">
        <v>39</v>
      </c>
      <c r="C227">
        <v>553</v>
      </c>
      <c r="D227">
        <v>425</v>
      </c>
      <c r="E227">
        <v>557</v>
      </c>
      <c r="F227">
        <v>163</v>
      </c>
      <c r="G227">
        <v>21</v>
      </c>
      <c r="H227">
        <v>114</v>
      </c>
      <c r="I227">
        <v>44</v>
      </c>
      <c r="J227">
        <v>19</v>
      </c>
      <c r="K227">
        <v>268</v>
      </c>
      <c r="L227" s="1">
        <v>42558</v>
      </c>
      <c r="M227" t="s">
        <v>25</v>
      </c>
      <c r="N227">
        <f>SUM(Table5[[#This Row],[CAUGHT IN]:[Other Accidents]])</f>
        <v>2203</v>
      </c>
    </row>
    <row r="228" spans="1:14" x14ac:dyDescent="0.3">
      <c r="A228" t="s">
        <v>1</v>
      </c>
      <c r="B228">
        <v>59</v>
      </c>
      <c r="C228">
        <v>693</v>
      </c>
      <c r="D228">
        <v>453</v>
      </c>
      <c r="E228">
        <v>610</v>
      </c>
      <c r="F228">
        <v>226</v>
      </c>
      <c r="G228">
        <v>13</v>
      </c>
      <c r="H228">
        <v>111</v>
      </c>
      <c r="I228">
        <v>45</v>
      </c>
      <c r="J228">
        <v>32</v>
      </c>
      <c r="K228">
        <v>306</v>
      </c>
      <c r="L228" s="1">
        <v>42654</v>
      </c>
      <c r="M228" t="s">
        <v>26</v>
      </c>
      <c r="N228">
        <f>SUM(Table5[[#This Row],[CAUGHT IN]:[Other Accidents]])</f>
        <v>2548</v>
      </c>
    </row>
    <row r="229" spans="1:14" x14ac:dyDescent="0.3">
      <c r="A229" t="s">
        <v>1</v>
      </c>
      <c r="B229">
        <v>57</v>
      </c>
      <c r="C229">
        <v>571</v>
      </c>
      <c r="D229">
        <v>479</v>
      </c>
      <c r="E229">
        <v>643</v>
      </c>
      <c r="F229">
        <v>156</v>
      </c>
      <c r="G229">
        <v>27</v>
      </c>
      <c r="H229">
        <v>122</v>
      </c>
      <c r="I229">
        <v>44</v>
      </c>
      <c r="J229">
        <v>18</v>
      </c>
      <c r="K229">
        <v>302</v>
      </c>
      <c r="L229" s="1">
        <v>42371</v>
      </c>
      <c r="M229" t="s">
        <v>2</v>
      </c>
      <c r="N229">
        <f>SUM(Table5[[#This Row],[CAUGHT IN]:[Other Accidents]])</f>
        <v>2419</v>
      </c>
    </row>
    <row r="230" spans="1:14" x14ac:dyDescent="0.3">
      <c r="A230" t="s">
        <v>1</v>
      </c>
      <c r="B230">
        <v>40</v>
      </c>
      <c r="C230">
        <v>430</v>
      </c>
      <c r="D230">
        <v>351</v>
      </c>
      <c r="E230">
        <v>322</v>
      </c>
      <c r="F230">
        <v>78</v>
      </c>
      <c r="G230">
        <v>12</v>
      </c>
      <c r="H230">
        <v>98</v>
      </c>
      <c r="I230">
        <v>28</v>
      </c>
      <c r="J230">
        <v>20</v>
      </c>
      <c r="K230">
        <v>230</v>
      </c>
      <c r="L230" s="1">
        <v>42432</v>
      </c>
      <c r="M230" t="s">
        <v>24</v>
      </c>
      <c r="N230">
        <f>SUM(Table5[[#This Row],[CAUGHT IN]:[Other Accidents]])</f>
        <v>1609</v>
      </c>
    </row>
    <row r="231" spans="1:14" x14ac:dyDescent="0.3">
      <c r="A231" t="s">
        <v>1</v>
      </c>
      <c r="B231">
        <v>48</v>
      </c>
      <c r="C231">
        <v>412</v>
      </c>
      <c r="D231">
        <v>330</v>
      </c>
      <c r="E231">
        <v>347</v>
      </c>
      <c r="F231">
        <v>72</v>
      </c>
      <c r="G231">
        <v>11</v>
      </c>
      <c r="H231">
        <v>78</v>
      </c>
      <c r="I231">
        <v>36</v>
      </c>
      <c r="J231">
        <v>11</v>
      </c>
      <c r="K231">
        <v>222</v>
      </c>
      <c r="L231" s="1">
        <v>42962</v>
      </c>
      <c r="M231" t="s">
        <v>25</v>
      </c>
      <c r="N231">
        <f>SUM(Table5[[#This Row],[CAUGHT IN]:[Other Accidents]])</f>
        <v>1567</v>
      </c>
    </row>
    <row r="232" spans="1:14" x14ac:dyDescent="0.3">
      <c r="A232" t="s">
        <v>1</v>
      </c>
      <c r="B232">
        <v>56</v>
      </c>
      <c r="C232">
        <v>502</v>
      </c>
      <c r="D232">
        <v>393</v>
      </c>
      <c r="E232">
        <v>594</v>
      </c>
      <c r="F232">
        <v>80</v>
      </c>
      <c r="G232">
        <v>20</v>
      </c>
      <c r="H232">
        <v>105</v>
      </c>
      <c r="I232">
        <v>30</v>
      </c>
      <c r="J232">
        <v>8</v>
      </c>
      <c r="K232">
        <v>272</v>
      </c>
      <c r="L232" s="1">
        <v>42962</v>
      </c>
      <c r="M232" t="s">
        <v>26</v>
      </c>
      <c r="N232">
        <f>SUM(Table5[[#This Row],[CAUGHT IN]:[Other Accidents]])</f>
        <v>2060</v>
      </c>
    </row>
    <row r="233" spans="1:14" x14ac:dyDescent="0.3">
      <c r="A233" t="s">
        <v>1</v>
      </c>
      <c r="B233">
        <v>47</v>
      </c>
      <c r="C233">
        <v>491</v>
      </c>
      <c r="D233">
        <v>392</v>
      </c>
      <c r="E233">
        <v>551</v>
      </c>
      <c r="F233">
        <v>104</v>
      </c>
      <c r="G233">
        <v>14</v>
      </c>
      <c r="H233">
        <v>103</v>
      </c>
      <c r="I233">
        <v>37</v>
      </c>
      <c r="J233">
        <v>10</v>
      </c>
      <c r="K233">
        <v>254</v>
      </c>
      <c r="L233" s="1">
        <v>42371</v>
      </c>
      <c r="M233" t="s">
        <v>2</v>
      </c>
      <c r="N233">
        <f>SUM(Table5[[#This Row],[CAUGHT IN]:[Other Accidents]])</f>
        <v>2003</v>
      </c>
    </row>
    <row r="234" spans="1:14" x14ac:dyDescent="0.3">
      <c r="A234" t="s">
        <v>1</v>
      </c>
      <c r="B234">
        <v>35</v>
      </c>
      <c r="C234">
        <v>367</v>
      </c>
      <c r="D234">
        <v>340</v>
      </c>
      <c r="E234">
        <v>420</v>
      </c>
      <c r="F234">
        <v>62</v>
      </c>
      <c r="G234">
        <v>11</v>
      </c>
      <c r="H234">
        <v>74</v>
      </c>
      <c r="I234">
        <v>28</v>
      </c>
      <c r="J234">
        <v>23</v>
      </c>
      <c r="K234">
        <v>230</v>
      </c>
      <c r="L234" s="1">
        <v>42432</v>
      </c>
      <c r="M234" t="s">
        <v>24</v>
      </c>
      <c r="N234">
        <f>SUM(Table5[[#This Row],[CAUGHT IN]:[Other Accidents]])</f>
        <v>1590</v>
      </c>
    </row>
    <row r="235" spans="1:14" x14ac:dyDescent="0.3">
      <c r="A235" t="s">
        <v>1</v>
      </c>
      <c r="B235">
        <v>42</v>
      </c>
      <c r="C235">
        <v>402</v>
      </c>
      <c r="D235">
        <v>334</v>
      </c>
      <c r="E235">
        <v>432</v>
      </c>
      <c r="F235">
        <v>91</v>
      </c>
      <c r="G235">
        <v>14</v>
      </c>
      <c r="H235">
        <v>95</v>
      </c>
      <c r="I235">
        <v>30</v>
      </c>
      <c r="J235">
        <v>11</v>
      </c>
      <c r="K235">
        <v>214</v>
      </c>
      <c r="L235" s="1">
        <v>42432</v>
      </c>
      <c r="M235" t="s">
        <v>24</v>
      </c>
      <c r="N235">
        <f>SUM(Table5[[#This Row],[CAUGHT IN]:[Other Accidents]])</f>
        <v>1665</v>
      </c>
    </row>
    <row r="236" spans="1:14" x14ac:dyDescent="0.3">
      <c r="A236" t="s">
        <v>1</v>
      </c>
      <c r="B236">
        <v>41</v>
      </c>
      <c r="C236">
        <v>346</v>
      </c>
      <c r="D236">
        <v>306</v>
      </c>
      <c r="E236">
        <v>484</v>
      </c>
      <c r="F236">
        <v>100</v>
      </c>
      <c r="G236">
        <v>9</v>
      </c>
      <c r="H236">
        <v>75</v>
      </c>
      <c r="I236">
        <v>21</v>
      </c>
      <c r="J236">
        <v>5</v>
      </c>
      <c r="K236">
        <v>179</v>
      </c>
      <c r="L236" s="1">
        <v>42432</v>
      </c>
      <c r="M236" t="s">
        <v>24</v>
      </c>
      <c r="N236">
        <f>SUM(Table5[[#This Row],[CAUGHT IN]:[Other Accidents]])</f>
        <v>1566</v>
      </c>
    </row>
    <row r="237" spans="1:14" x14ac:dyDescent="0.3">
      <c r="A237" t="s">
        <v>9</v>
      </c>
      <c r="B237">
        <v>2</v>
      </c>
      <c r="C237">
        <v>39</v>
      </c>
      <c r="D237">
        <v>28</v>
      </c>
      <c r="E237">
        <v>35</v>
      </c>
      <c r="F237">
        <v>13</v>
      </c>
      <c r="G237">
        <v>0</v>
      </c>
      <c r="H237">
        <v>2</v>
      </c>
      <c r="I237">
        <v>0</v>
      </c>
      <c r="J237">
        <v>1</v>
      </c>
      <c r="K237">
        <v>11</v>
      </c>
      <c r="L237" s="1">
        <v>42371</v>
      </c>
      <c r="M237" t="s">
        <v>2</v>
      </c>
      <c r="N237">
        <f>SUM(Table5[[#This Row],[CAUGHT IN]:[Other Accidents]])</f>
        <v>131</v>
      </c>
    </row>
    <row r="238" spans="1:14" x14ac:dyDescent="0.3">
      <c r="A238" t="s">
        <v>9</v>
      </c>
      <c r="B238">
        <v>3</v>
      </c>
      <c r="C238">
        <v>14</v>
      </c>
      <c r="D238">
        <v>11</v>
      </c>
      <c r="E238">
        <v>42</v>
      </c>
      <c r="F238">
        <v>9</v>
      </c>
      <c r="G238">
        <v>1</v>
      </c>
      <c r="H238">
        <v>2</v>
      </c>
      <c r="I238">
        <v>2</v>
      </c>
      <c r="J238">
        <v>1</v>
      </c>
      <c r="K238">
        <v>7</v>
      </c>
      <c r="L238" s="1">
        <v>42432</v>
      </c>
      <c r="M238" t="s">
        <v>24</v>
      </c>
      <c r="N238">
        <f>SUM(Table5[[#This Row],[CAUGHT IN]:[Other Accidents]])</f>
        <v>92</v>
      </c>
    </row>
    <row r="239" spans="1:14" x14ac:dyDescent="0.3">
      <c r="A239" t="s">
        <v>9</v>
      </c>
      <c r="B239">
        <v>0</v>
      </c>
      <c r="C239">
        <v>23</v>
      </c>
      <c r="D239">
        <v>11</v>
      </c>
      <c r="E239">
        <v>25</v>
      </c>
      <c r="F239">
        <v>2</v>
      </c>
      <c r="G239">
        <v>1</v>
      </c>
      <c r="H239">
        <v>3</v>
      </c>
      <c r="I239">
        <v>0</v>
      </c>
      <c r="J239">
        <v>1</v>
      </c>
      <c r="K239">
        <v>12</v>
      </c>
      <c r="L239" s="1">
        <v>42558</v>
      </c>
      <c r="M239" t="s">
        <v>25</v>
      </c>
      <c r="N239">
        <f>SUM(Table5[[#This Row],[CAUGHT IN]:[Other Accidents]])</f>
        <v>78</v>
      </c>
    </row>
    <row r="240" spans="1:14" x14ac:dyDescent="0.3">
      <c r="A240" t="s">
        <v>9</v>
      </c>
      <c r="B240">
        <v>4</v>
      </c>
      <c r="C240">
        <v>16</v>
      </c>
      <c r="D240">
        <v>17</v>
      </c>
      <c r="E240">
        <v>33</v>
      </c>
      <c r="F240">
        <v>7</v>
      </c>
      <c r="G240">
        <v>0</v>
      </c>
      <c r="H240">
        <v>3</v>
      </c>
      <c r="I240">
        <v>4</v>
      </c>
      <c r="J240">
        <v>2</v>
      </c>
      <c r="K240">
        <v>16</v>
      </c>
      <c r="L240" s="1">
        <v>42654</v>
      </c>
      <c r="M240" t="s">
        <v>26</v>
      </c>
      <c r="N240">
        <f>SUM(Table5[[#This Row],[CAUGHT IN]:[Other Accidents]])</f>
        <v>102</v>
      </c>
    </row>
    <row r="241" spans="1:14" x14ac:dyDescent="0.3">
      <c r="A241" t="s">
        <v>9</v>
      </c>
      <c r="B241">
        <v>0</v>
      </c>
      <c r="C241">
        <v>18</v>
      </c>
      <c r="D241">
        <v>15</v>
      </c>
      <c r="E241">
        <v>34</v>
      </c>
      <c r="F241">
        <v>5</v>
      </c>
      <c r="G241">
        <v>2</v>
      </c>
      <c r="H241">
        <v>2</v>
      </c>
      <c r="I241">
        <v>0</v>
      </c>
      <c r="J241">
        <v>1</v>
      </c>
      <c r="K241">
        <v>15</v>
      </c>
      <c r="L241" s="1">
        <v>42371</v>
      </c>
      <c r="M241" t="s">
        <v>2</v>
      </c>
      <c r="N241">
        <f>SUM(Table5[[#This Row],[CAUGHT IN]:[Other Accidents]])</f>
        <v>92</v>
      </c>
    </row>
    <row r="242" spans="1:14" x14ac:dyDescent="0.3">
      <c r="A242" t="s">
        <v>9</v>
      </c>
      <c r="B242">
        <v>0</v>
      </c>
      <c r="C242">
        <v>18</v>
      </c>
      <c r="D242">
        <v>5</v>
      </c>
      <c r="E242">
        <v>19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8</v>
      </c>
      <c r="L242" s="1">
        <v>42432</v>
      </c>
      <c r="M242" t="s">
        <v>24</v>
      </c>
      <c r="N242">
        <f>SUM(Table5[[#This Row],[CAUGHT IN]:[Other Accidents]])</f>
        <v>53</v>
      </c>
    </row>
    <row r="243" spans="1:14" x14ac:dyDescent="0.3">
      <c r="A243" t="s">
        <v>9</v>
      </c>
      <c r="B243">
        <v>4</v>
      </c>
      <c r="C243">
        <v>14</v>
      </c>
      <c r="D243">
        <v>14</v>
      </c>
      <c r="E243">
        <v>22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11</v>
      </c>
      <c r="L243" s="1">
        <v>42969</v>
      </c>
      <c r="M243" t="s">
        <v>25</v>
      </c>
      <c r="N243">
        <f>SUM(Table5[[#This Row],[CAUGHT IN]:[Other Accidents]])</f>
        <v>67</v>
      </c>
    </row>
    <row r="244" spans="1:14" x14ac:dyDescent="0.3">
      <c r="A244" t="s">
        <v>9</v>
      </c>
      <c r="B244">
        <v>1</v>
      </c>
      <c r="C244">
        <v>20</v>
      </c>
      <c r="D244">
        <v>8</v>
      </c>
      <c r="E244">
        <v>27</v>
      </c>
      <c r="F244">
        <v>5</v>
      </c>
      <c r="G244">
        <v>0</v>
      </c>
      <c r="H244">
        <v>2</v>
      </c>
      <c r="I244">
        <v>2</v>
      </c>
      <c r="J244">
        <v>1</v>
      </c>
      <c r="K244">
        <v>12</v>
      </c>
      <c r="L244" s="1">
        <v>42969</v>
      </c>
      <c r="M244" t="s">
        <v>26</v>
      </c>
      <c r="N244">
        <f>SUM(Table5[[#This Row],[CAUGHT IN]:[Other Accidents]])</f>
        <v>78</v>
      </c>
    </row>
    <row r="245" spans="1:14" x14ac:dyDescent="0.3">
      <c r="A245" t="s">
        <v>9</v>
      </c>
      <c r="B245">
        <v>0</v>
      </c>
      <c r="C245">
        <v>18</v>
      </c>
      <c r="D245">
        <v>8</v>
      </c>
      <c r="E245">
        <v>23</v>
      </c>
      <c r="F245">
        <v>4</v>
      </c>
      <c r="G245">
        <v>0</v>
      </c>
      <c r="H245">
        <v>1</v>
      </c>
      <c r="I245">
        <v>1</v>
      </c>
      <c r="J245">
        <v>0</v>
      </c>
      <c r="K245">
        <v>4</v>
      </c>
      <c r="L245" s="1">
        <v>42371</v>
      </c>
      <c r="M245" t="s">
        <v>2</v>
      </c>
      <c r="N245">
        <f>SUM(Table5[[#This Row],[CAUGHT IN]:[Other Accidents]])</f>
        <v>59</v>
      </c>
    </row>
    <row r="246" spans="1:14" x14ac:dyDescent="0.3">
      <c r="A246" t="s">
        <v>9</v>
      </c>
      <c r="B246">
        <v>1</v>
      </c>
      <c r="C246">
        <v>25</v>
      </c>
      <c r="D246">
        <v>12</v>
      </c>
      <c r="E246">
        <v>27</v>
      </c>
      <c r="F246">
        <v>2</v>
      </c>
      <c r="G246">
        <v>1</v>
      </c>
      <c r="H246">
        <v>3</v>
      </c>
      <c r="I246">
        <v>0</v>
      </c>
      <c r="J246">
        <v>0</v>
      </c>
      <c r="K246">
        <v>10</v>
      </c>
      <c r="L246" s="1">
        <v>42432</v>
      </c>
      <c r="M246" t="s">
        <v>24</v>
      </c>
      <c r="N246">
        <f>SUM(Table5[[#This Row],[CAUGHT IN]:[Other Accidents]])</f>
        <v>81</v>
      </c>
    </row>
    <row r="247" spans="1:14" x14ac:dyDescent="0.3">
      <c r="A247" t="s">
        <v>9</v>
      </c>
      <c r="B247">
        <v>0</v>
      </c>
      <c r="C247">
        <v>18</v>
      </c>
      <c r="D247">
        <v>16</v>
      </c>
      <c r="E247">
        <v>20</v>
      </c>
      <c r="F247">
        <v>2</v>
      </c>
      <c r="G247">
        <v>0</v>
      </c>
      <c r="H247">
        <v>1</v>
      </c>
      <c r="I247">
        <v>1</v>
      </c>
      <c r="J247">
        <v>0</v>
      </c>
      <c r="K247">
        <v>15</v>
      </c>
      <c r="L247" s="1">
        <v>42432</v>
      </c>
      <c r="M247" t="s">
        <v>24</v>
      </c>
      <c r="N247">
        <f>SUM(Table5[[#This Row],[CAUGHT IN]:[Other Accidents]])</f>
        <v>73</v>
      </c>
    </row>
    <row r="248" spans="1:14" x14ac:dyDescent="0.3">
      <c r="A248" t="s">
        <v>9</v>
      </c>
      <c r="B248">
        <v>1</v>
      </c>
      <c r="C248">
        <v>11</v>
      </c>
      <c r="D248">
        <v>11</v>
      </c>
      <c r="E248">
        <v>12</v>
      </c>
      <c r="F248">
        <v>1</v>
      </c>
      <c r="G248">
        <v>0</v>
      </c>
      <c r="H248">
        <v>2</v>
      </c>
      <c r="I248">
        <v>1</v>
      </c>
      <c r="J248">
        <v>0</v>
      </c>
      <c r="K248">
        <v>11</v>
      </c>
      <c r="L248" s="1">
        <v>42432</v>
      </c>
      <c r="M248" t="s">
        <v>24</v>
      </c>
      <c r="N248">
        <f>SUM(Table5[[#This Row],[CAUGHT IN]:[Other Accidents]])</f>
        <v>50</v>
      </c>
    </row>
    <row r="249" spans="1:14" x14ac:dyDescent="0.3">
      <c r="A249" t="s">
        <v>11</v>
      </c>
      <c r="B249">
        <v>2</v>
      </c>
      <c r="C249">
        <v>26</v>
      </c>
      <c r="D249">
        <v>22</v>
      </c>
      <c r="E249">
        <v>32</v>
      </c>
      <c r="F249">
        <v>17</v>
      </c>
      <c r="G249">
        <v>0</v>
      </c>
      <c r="H249">
        <v>9</v>
      </c>
      <c r="I249">
        <v>2</v>
      </c>
      <c r="J249">
        <v>3</v>
      </c>
      <c r="K249">
        <v>13</v>
      </c>
      <c r="L249" s="1">
        <v>42371</v>
      </c>
      <c r="M249" t="s">
        <v>2</v>
      </c>
      <c r="N249">
        <f>SUM(Table5[[#This Row],[CAUGHT IN]:[Other Accidents]])</f>
        <v>126</v>
      </c>
    </row>
    <row r="250" spans="1:14" x14ac:dyDescent="0.3">
      <c r="A250" t="s">
        <v>11</v>
      </c>
      <c r="B250">
        <v>2</v>
      </c>
      <c r="C250">
        <v>23</v>
      </c>
      <c r="D250">
        <v>21</v>
      </c>
      <c r="E250">
        <v>24</v>
      </c>
      <c r="F250">
        <v>15</v>
      </c>
      <c r="G250">
        <v>0</v>
      </c>
      <c r="H250">
        <v>4</v>
      </c>
      <c r="I250">
        <v>4</v>
      </c>
      <c r="J250">
        <v>3</v>
      </c>
      <c r="K250">
        <v>21</v>
      </c>
      <c r="L250" s="1">
        <v>42432</v>
      </c>
      <c r="M250" t="s">
        <v>24</v>
      </c>
      <c r="N250">
        <f>SUM(Table5[[#This Row],[CAUGHT IN]:[Other Accidents]])</f>
        <v>117</v>
      </c>
    </row>
    <row r="251" spans="1:14" x14ac:dyDescent="0.3">
      <c r="A251" t="s">
        <v>11</v>
      </c>
      <c r="B251">
        <v>2</v>
      </c>
      <c r="C251">
        <v>19</v>
      </c>
      <c r="D251">
        <v>20</v>
      </c>
      <c r="E251">
        <v>20</v>
      </c>
      <c r="F251">
        <v>12</v>
      </c>
      <c r="G251">
        <v>0</v>
      </c>
      <c r="H251">
        <v>0</v>
      </c>
      <c r="I251">
        <v>0</v>
      </c>
      <c r="J251">
        <v>1</v>
      </c>
      <c r="K251">
        <v>10</v>
      </c>
      <c r="L251" s="1">
        <v>42558</v>
      </c>
      <c r="M251" t="s">
        <v>25</v>
      </c>
      <c r="N251">
        <f>SUM(Table5[[#This Row],[CAUGHT IN]:[Other Accidents]])</f>
        <v>84</v>
      </c>
    </row>
    <row r="252" spans="1:14" x14ac:dyDescent="0.3">
      <c r="A252" t="s">
        <v>11</v>
      </c>
      <c r="B252">
        <v>1</v>
      </c>
      <c r="C252">
        <v>30</v>
      </c>
      <c r="D252">
        <v>16</v>
      </c>
      <c r="E252">
        <v>28</v>
      </c>
      <c r="F252">
        <v>10</v>
      </c>
      <c r="G252">
        <v>0</v>
      </c>
      <c r="H252">
        <v>4</v>
      </c>
      <c r="I252">
        <v>4</v>
      </c>
      <c r="J252">
        <v>1</v>
      </c>
      <c r="K252">
        <v>15</v>
      </c>
      <c r="L252" s="1">
        <v>42654</v>
      </c>
      <c r="M252" t="s">
        <v>26</v>
      </c>
      <c r="N252">
        <f>SUM(Table5[[#This Row],[CAUGHT IN]:[Other Accidents]])</f>
        <v>109</v>
      </c>
    </row>
    <row r="253" spans="1:14" x14ac:dyDescent="0.3">
      <c r="A253" t="s">
        <v>11</v>
      </c>
      <c r="B253">
        <v>4</v>
      </c>
      <c r="C253">
        <v>25</v>
      </c>
      <c r="D253">
        <v>14</v>
      </c>
      <c r="E253">
        <v>43</v>
      </c>
      <c r="F253">
        <v>14</v>
      </c>
      <c r="G253">
        <v>0</v>
      </c>
      <c r="H253">
        <v>3</v>
      </c>
      <c r="I253">
        <v>0</v>
      </c>
      <c r="J253">
        <v>0</v>
      </c>
      <c r="K253">
        <v>16</v>
      </c>
      <c r="L253" s="1">
        <v>42371</v>
      </c>
      <c r="M253" t="s">
        <v>2</v>
      </c>
      <c r="N253">
        <f>SUM(Table5[[#This Row],[CAUGHT IN]:[Other Accidents]])</f>
        <v>119</v>
      </c>
    </row>
    <row r="254" spans="1:14" x14ac:dyDescent="0.3">
      <c r="A254" t="s">
        <v>11</v>
      </c>
      <c r="B254">
        <v>1</v>
      </c>
      <c r="C254">
        <v>16</v>
      </c>
      <c r="D254">
        <v>10</v>
      </c>
      <c r="E254">
        <v>19</v>
      </c>
      <c r="F254">
        <v>9</v>
      </c>
      <c r="G254">
        <v>0</v>
      </c>
      <c r="H254">
        <v>1</v>
      </c>
      <c r="I254">
        <v>0</v>
      </c>
      <c r="J254">
        <v>1</v>
      </c>
      <c r="K254">
        <v>11</v>
      </c>
      <c r="L254" s="1">
        <v>42432</v>
      </c>
      <c r="M254" t="s">
        <v>24</v>
      </c>
      <c r="N254">
        <f>SUM(Table5[[#This Row],[CAUGHT IN]:[Other Accidents]])</f>
        <v>68</v>
      </c>
    </row>
    <row r="255" spans="1:14" x14ac:dyDescent="0.3">
      <c r="A255" t="s">
        <v>11</v>
      </c>
      <c r="B255">
        <v>4</v>
      </c>
      <c r="C255">
        <v>22</v>
      </c>
      <c r="D255">
        <v>17</v>
      </c>
      <c r="E255">
        <v>10</v>
      </c>
      <c r="F255">
        <v>5</v>
      </c>
      <c r="G255">
        <v>0</v>
      </c>
      <c r="H255">
        <v>3</v>
      </c>
      <c r="I255">
        <v>1</v>
      </c>
      <c r="J255">
        <v>2</v>
      </c>
      <c r="K255">
        <v>7</v>
      </c>
      <c r="L255" s="1">
        <v>42971</v>
      </c>
      <c r="M255" t="s">
        <v>25</v>
      </c>
      <c r="N255">
        <f>SUM(Table5[[#This Row],[CAUGHT IN]:[Other Accidents]])</f>
        <v>71</v>
      </c>
    </row>
    <row r="256" spans="1:14" x14ac:dyDescent="0.3">
      <c r="A256" t="s">
        <v>11</v>
      </c>
      <c r="B256">
        <v>4</v>
      </c>
      <c r="C256">
        <v>15</v>
      </c>
      <c r="D256">
        <v>10</v>
      </c>
      <c r="E256">
        <v>19</v>
      </c>
      <c r="F256">
        <v>10</v>
      </c>
      <c r="G256">
        <v>0</v>
      </c>
      <c r="H256">
        <v>1</v>
      </c>
      <c r="I256">
        <v>2</v>
      </c>
      <c r="J256">
        <v>0</v>
      </c>
      <c r="K256">
        <v>6</v>
      </c>
      <c r="L256" s="1">
        <v>42971</v>
      </c>
      <c r="M256" t="s">
        <v>26</v>
      </c>
      <c r="N256">
        <f>SUM(Table5[[#This Row],[CAUGHT IN]:[Other Accidents]])</f>
        <v>67</v>
      </c>
    </row>
    <row r="257" spans="1:14" x14ac:dyDescent="0.3">
      <c r="A257" t="s">
        <v>11</v>
      </c>
      <c r="B257">
        <v>3</v>
      </c>
      <c r="C257">
        <v>28</v>
      </c>
      <c r="D257">
        <v>24</v>
      </c>
      <c r="E257">
        <v>27</v>
      </c>
      <c r="F257">
        <v>8</v>
      </c>
      <c r="G257">
        <v>0</v>
      </c>
      <c r="H257">
        <v>3</v>
      </c>
      <c r="I257">
        <v>1</v>
      </c>
      <c r="J257">
        <v>3</v>
      </c>
      <c r="K257">
        <v>7</v>
      </c>
      <c r="L257" s="1">
        <v>42371</v>
      </c>
      <c r="M257" t="s">
        <v>2</v>
      </c>
      <c r="N257">
        <f>SUM(Table5[[#This Row],[CAUGHT IN]:[Other Accidents]])</f>
        <v>104</v>
      </c>
    </row>
    <row r="258" spans="1:14" x14ac:dyDescent="0.3">
      <c r="A258" t="s">
        <v>11</v>
      </c>
      <c r="B258">
        <v>3</v>
      </c>
      <c r="C258">
        <v>11</v>
      </c>
      <c r="D258">
        <v>13</v>
      </c>
      <c r="E258">
        <v>33</v>
      </c>
      <c r="F258">
        <v>0</v>
      </c>
      <c r="G258">
        <v>1</v>
      </c>
      <c r="H258">
        <v>1</v>
      </c>
      <c r="I258">
        <v>0</v>
      </c>
      <c r="J258">
        <v>1</v>
      </c>
      <c r="K258">
        <v>9</v>
      </c>
      <c r="L258" s="1">
        <v>42432</v>
      </c>
      <c r="M258" t="s">
        <v>24</v>
      </c>
      <c r="N258">
        <f>SUM(Table5[[#This Row],[CAUGHT IN]:[Other Accidents]])</f>
        <v>72</v>
      </c>
    </row>
    <row r="259" spans="1:14" x14ac:dyDescent="0.3">
      <c r="A259" t="s">
        <v>11</v>
      </c>
      <c r="B259">
        <v>1</v>
      </c>
      <c r="C259">
        <v>12</v>
      </c>
      <c r="D259">
        <v>18</v>
      </c>
      <c r="E259">
        <v>24</v>
      </c>
      <c r="F259">
        <v>5</v>
      </c>
      <c r="G259">
        <v>1</v>
      </c>
      <c r="H259">
        <v>5</v>
      </c>
      <c r="I259">
        <v>2</v>
      </c>
      <c r="J259">
        <v>3</v>
      </c>
      <c r="K259">
        <v>14</v>
      </c>
      <c r="L259" s="1">
        <v>42432</v>
      </c>
      <c r="M259" t="s">
        <v>24</v>
      </c>
      <c r="N259">
        <f>SUM(Table5[[#This Row],[CAUGHT IN]:[Other Accidents]])</f>
        <v>85</v>
      </c>
    </row>
    <row r="260" spans="1:14" x14ac:dyDescent="0.3">
      <c r="A260" t="s">
        <v>11</v>
      </c>
      <c r="B260">
        <v>2</v>
      </c>
      <c r="C260">
        <v>10</v>
      </c>
      <c r="D260">
        <v>12</v>
      </c>
      <c r="E260">
        <v>21</v>
      </c>
      <c r="F260">
        <v>6</v>
      </c>
      <c r="G260">
        <v>0</v>
      </c>
      <c r="H260">
        <v>3</v>
      </c>
      <c r="I260">
        <v>1</v>
      </c>
      <c r="J260">
        <v>0</v>
      </c>
      <c r="K260">
        <v>14</v>
      </c>
      <c r="L260" s="1">
        <v>42432</v>
      </c>
      <c r="M260" t="s">
        <v>24</v>
      </c>
      <c r="N260">
        <f>SUM(Table5[[#This Row],[CAUGHT IN]:[Other Accidents]])</f>
        <v>69</v>
      </c>
    </row>
    <row r="261" spans="1:14" x14ac:dyDescent="0.3">
      <c r="A261" t="s">
        <v>80</v>
      </c>
      <c r="N261">
        <f>SUBTOTAL(109,Table5[Column1])</f>
        <v>120268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862E-C736-402B-949D-B651BAAC43AC}">
  <dimension ref="A1:N261"/>
  <sheetViews>
    <sheetView topLeftCell="A259" workbookViewId="0">
      <selection activeCell="K273" sqref="K273"/>
    </sheetView>
  </sheetViews>
  <sheetFormatPr defaultRowHeight="14.4" x14ac:dyDescent="0.3"/>
  <cols>
    <col min="1" max="1" width="20.88671875" bestFit="1" customWidth="1"/>
    <col min="2" max="10" width="9.109375" bestFit="1" customWidth="1"/>
    <col min="11" max="11" width="7.6640625" bestFit="1" customWidth="1"/>
    <col min="12" max="12" width="10.5546875" bestFit="1" customWidth="1"/>
    <col min="13" max="13" width="15.77734375" customWidth="1"/>
  </cols>
  <sheetData>
    <row r="1" spans="1:14" x14ac:dyDescent="0.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s="3" t="s">
        <v>52</v>
      </c>
      <c r="M1" s="2" t="s">
        <v>53</v>
      </c>
      <c r="N1" t="s">
        <v>78</v>
      </c>
    </row>
    <row r="2" spans="1:14" x14ac:dyDescent="0.3">
      <c r="A2" t="s">
        <v>13</v>
      </c>
      <c r="B2">
        <v>1</v>
      </c>
      <c r="C2">
        <v>43</v>
      </c>
      <c r="D2">
        <v>152</v>
      </c>
      <c r="E2">
        <v>144</v>
      </c>
      <c r="F2">
        <v>102</v>
      </c>
      <c r="G2">
        <v>87</v>
      </c>
      <c r="H2">
        <v>63</v>
      </c>
      <c r="I2">
        <v>21</v>
      </c>
      <c r="J2">
        <v>16</v>
      </c>
      <c r="K2">
        <v>5</v>
      </c>
      <c r="L2" s="1">
        <v>42405</v>
      </c>
      <c r="M2" t="s">
        <v>2</v>
      </c>
      <c r="N2">
        <f>SUM(Table6[[#This Row],[15 ~ 19]:[&gt;= 60]])</f>
        <v>634</v>
      </c>
    </row>
    <row r="3" spans="1:14" x14ac:dyDescent="0.3">
      <c r="A3" t="s">
        <v>13</v>
      </c>
      <c r="B3">
        <v>1</v>
      </c>
      <c r="C3">
        <v>52</v>
      </c>
      <c r="D3">
        <v>153</v>
      </c>
      <c r="E3">
        <v>127</v>
      </c>
      <c r="F3">
        <v>103</v>
      </c>
      <c r="G3">
        <v>72</v>
      </c>
      <c r="H3">
        <v>60</v>
      </c>
      <c r="I3">
        <v>29</v>
      </c>
      <c r="J3">
        <v>17</v>
      </c>
      <c r="K3">
        <v>16</v>
      </c>
      <c r="L3" s="1">
        <v>42434</v>
      </c>
      <c r="M3" t="s">
        <v>24</v>
      </c>
      <c r="N3">
        <f>SUM(Table6[[#This Row],[15 ~ 19]:[&gt;= 60]])</f>
        <v>630</v>
      </c>
    </row>
    <row r="4" spans="1:14" x14ac:dyDescent="0.3">
      <c r="A4" t="s">
        <v>13</v>
      </c>
      <c r="B4">
        <v>4</v>
      </c>
      <c r="C4">
        <v>45</v>
      </c>
      <c r="D4">
        <v>130</v>
      </c>
      <c r="E4">
        <v>131</v>
      </c>
      <c r="F4">
        <v>85</v>
      </c>
      <c r="G4">
        <v>70</v>
      </c>
      <c r="H4">
        <v>41</v>
      </c>
      <c r="I4">
        <v>36</v>
      </c>
      <c r="J4">
        <v>13</v>
      </c>
      <c r="K4">
        <v>11</v>
      </c>
      <c r="L4" s="1">
        <v>42558</v>
      </c>
      <c r="M4" t="s">
        <v>25</v>
      </c>
      <c r="N4">
        <f>SUM(Table6[[#This Row],[15 ~ 19]:[&gt;= 60]])</f>
        <v>566</v>
      </c>
    </row>
    <row r="5" spans="1:14" x14ac:dyDescent="0.3">
      <c r="A5" t="s">
        <v>13</v>
      </c>
      <c r="B5">
        <v>1</v>
      </c>
      <c r="C5">
        <v>30</v>
      </c>
      <c r="D5">
        <v>122</v>
      </c>
      <c r="E5">
        <v>151</v>
      </c>
      <c r="F5">
        <v>103</v>
      </c>
      <c r="G5">
        <v>75</v>
      </c>
      <c r="H5">
        <v>36</v>
      </c>
      <c r="I5">
        <v>33</v>
      </c>
      <c r="J5">
        <v>8</v>
      </c>
      <c r="K5">
        <v>14</v>
      </c>
      <c r="L5" t="s">
        <v>42</v>
      </c>
      <c r="M5" t="s">
        <v>26</v>
      </c>
      <c r="N5">
        <f>SUM(Table6[[#This Row],[15 ~ 19]:[&gt;= 60]])</f>
        <v>573</v>
      </c>
    </row>
    <row r="6" spans="1:14" x14ac:dyDescent="0.3">
      <c r="A6" t="s">
        <v>13</v>
      </c>
      <c r="B6">
        <v>1</v>
      </c>
      <c r="C6">
        <v>41</v>
      </c>
      <c r="D6">
        <v>144</v>
      </c>
      <c r="E6">
        <v>120</v>
      </c>
      <c r="F6">
        <v>109</v>
      </c>
      <c r="G6">
        <v>73</v>
      </c>
      <c r="H6">
        <v>50</v>
      </c>
      <c r="I6">
        <v>27</v>
      </c>
      <c r="J6">
        <v>22</v>
      </c>
      <c r="K6">
        <v>8</v>
      </c>
      <c r="L6" s="1">
        <v>42792</v>
      </c>
      <c r="M6" t="s">
        <v>2</v>
      </c>
      <c r="N6">
        <f>SUM(Table6[[#This Row],[15 ~ 19]:[&gt;= 60]])</f>
        <v>595</v>
      </c>
    </row>
    <row r="7" spans="1:14" x14ac:dyDescent="0.3">
      <c r="A7" t="s">
        <v>13</v>
      </c>
      <c r="B7">
        <v>0</v>
      </c>
      <c r="C7">
        <v>29</v>
      </c>
      <c r="D7">
        <v>93</v>
      </c>
      <c r="E7">
        <v>76</v>
      </c>
      <c r="F7">
        <v>60</v>
      </c>
      <c r="G7">
        <v>57</v>
      </c>
      <c r="H7">
        <v>29</v>
      </c>
      <c r="I7">
        <v>30</v>
      </c>
      <c r="J7">
        <v>10</v>
      </c>
      <c r="K7">
        <v>8</v>
      </c>
      <c r="L7" s="1">
        <v>42924</v>
      </c>
      <c r="M7" t="s">
        <v>24</v>
      </c>
      <c r="N7">
        <f>SUM(Table6[[#This Row],[15 ~ 19]:[&gt;= 60]])</f>
        <v>392</v>
      </c>
    </row>
    <row r="8" spans="1:14" x14ac:dyDescent="0.3">
      <c r="A8" t="s">
        <v>13</v>
      </c>
      <c r="B8">
        <v>0</v>
      </c>
      <c r="C8">
        <v>29</v>
      </c>
      <c r="D8">
        <v>78</v>
      </c>
      <c r="E8">
        <v>85</v>
      </c>
      <c r="F8">
        <v>61</v>
      </c>
      <c r="G8">
        <v>49</v>
      </c>
      <c r="H8">
        <v>37</v>
      </c>
      <c r="I8">
        <v>33</v>
      </c>
      <c r="J8">
        <v>20</v>
      </c>
      <c r="K8">
        <v>7</v>
      </c>
      <c r="L8" s="1">
        <v>42973</v>
      </c>
      <c r="M8" t="s">
        <v>25</v>
      </c>
      <c r="N8">
        <f>SUM(Table6[[#This Row],[15 ~ 19]:[&gt;= 60]])</f>
        <v>399</v>
      </c>
    </row>
    <row r="9" spans="1:14" x14ac:dyDescent="0.3">
      <c r="A9" t="s">
        <v>13</v>
      </c>
      <c r="B9">
        <v>0</v>
      </c>
      <c r="C9">
        <v>31</v>
      </c>
      <c r="D9">
        <v>80</v>
      </c>
      <c r="E9">
        <v>110</v>
      </c>
      <c r="F9">
        <v>69</v>
      </c>
      <c r="G9">
        <v>68</v>
      </c>
      <c r="H9">
        <v>33</v>
      </c>
      <c r="I9">
        <v>22</v>
      </c>
      <c r="J9">
        <v>15</v>
      </c>
      <c r="K9">
        <v>12</v>
      </c>
      <c r="L9" s="1">
        <v>42973</v>
      </c>
      <c r="M9" t="s">
        <v>26</v>
      </c>
      <c r="N9">
        <f>SUM(Table6[[#This Row],[15 ~ 19]:[&gt;= 60]])</f>
        <v>440</v>
      </c>
    </row>
    <row r="10" spans="1:14" x14ac:dyDescent="0.3">
      <c r="A10" t="s">
        <v>13</v>
      </c>
      <c r="B10">
        <v>1</v>
      </c>
      <c r="C10">
        <v>19</v>
      </c>
      <c r="D10">
        <v>85</v>
      </c>
      <c r="E10">
        <v>95</v>
      </c>
      <c r="F10">
        <v>81</v>
      </c>
      <c r="G10">
        <v>60</v>
      </c>
      <c r="H10">
        <v>42</v>
      </c>
      <c r="I10">
        <v>24</v>
      </c>
      <c r="J10">
        <v>13</v>
      </c>
      <c r="K10">
        <v>3</v>
      </c>
      <c r="L10" s="1">
        <v>43147</v>
      </c>
      <c r="M10" t="s">
        <v>2</v>
      </c>
      <c r="N10">
        <f>SUM(Table6[[#This Row],[15 ~ 19]:[&gt;= 60]])</f>
        <v>423</v>
      </c>
    </row>
    <row r="11" spans="1:14" x14ac:dyDescent="0.3">
      <c r="A11" t="s">
        <v>13</v>
      </c>
      <c r="B11">
        <v>0</v>
      </c>
      <c r="C11">
        <v>23</v>
      </c>
      <c r="D11">
        <v>75</v>
      </c>
      <c r="E11">
        <v>79</v>
      </c>
      <c r="F11">
        <v>56</v>
      </c>
      <c r="G11">
        <v>42</v>
      </c>
      <c r="H11">
        <v>29</v>
      </c>
      <c r="I11">
        <v>17</v>
      </c>
      <c r="J11">
        <v>11</v>
      </c>
      <c r="K11">
        <v>6</v>
      </c>
      <c r="L11" s="1">
        <v>43236</v>
      </c>
      <c r="M11" t="s">
        <v>24</v>
      </c>
      <c r="N11">
        <f>SUM(Table6[[#This Row],[15 ~ 19]:[&gt;= 60]])</f>
        <v>338</v>
      </c>
    </row>
    <row r="12" spans="1:14" x14ac:dyDescent="0.3">
      <c r="A12" t="s">
        <v>13</v>
      </c>
      <c r="B12">
        <v>1</v>
      </c>
      <c r="C12">
        <v>23</v>
      </c>
      <c r="D12">
        <v>74</v>
      </c>
      <c r="E12">
        <v>78</v>
      </c>
      <c r="F12">
        <v>74</v>
      </c>
      <c r="G12">
        <v>54</v>
      </c>
      <c r="H12">
        <v>27</v>
      </c>
      <c r="I12">
        <v>33</v>
      </c>
      <c r="J12">
        <v>12</v>
      </c>
      <c r="K12">
        <v>17</v>
      </c>
      <c r="L12" s="1">
        <v>43236</v>
      </c>
      <c r="M12" t="s">
        <v>24</v>
      </c>
      <c r="N12">
        <f>SUM(Table6[[#This Row],[15 ~ 19]:[&gt;= 60]])</f>
        <v>393</v>
      </c>
    </row>
    <row r="13" spans="1:14" x14ac:dyDescent="0.3">
      <c r="A13" t="s">
        <v>13</v>
      </c>
      <c r="B13">
        <v>1</v>
      </c>
      <c r="C13">
        <v>11</v>
      </c>
      <c r="D13">
        <v>62</v>
      </c>
      <c r="E13">
        <v>73</v>
      </c>
      <c r="F13">
        <v>73</v>
      </c>
      <c r="G13">
        <v>30</v>
      </c>
      <c r="H13">
        <v>50</v>
      </c>
      <c r="I13">
        <v>28</v>
      </c>
      <c r="J13">
        <v>11</v>
      </c>
      <c r="K13">
        <v>11</v>
      </c>
      <c r="L13" s="1">
        <v>43236</v>
      </c>
      <c r="M13" t="s">
        <v>24</v>
      </c>
      <c r="N13">
        <f>SUM(Table6[[#This Row],[15 ~ 19]:[&gt;= 60]])</f>
        <v>350</v>
      </c>
    </row>
    <row r="14" spans="1:14" x14ac:dyDescent="0.3">
      <c r="A14" t="s">
        <v>20</v>
      </c>
      <c r="B14">
        <v>0</v>
      </c>
      <c r="C14">
        <v>6</v>
      </c>
      <c r="D14">
        <v>15</v>
      </c>
      <c r="E14">
        <v>15</v>
      </c>
      <c r="F14">
        <v>13</v>
      </c>
      <c r="G14">
        <v>8</v>
      </c>
      <c r="H14">
        <v>10</v>
      </c>
      <c r="I14">
        <v>4</v>
      </c>
      <c r="J14">
        <v>2</v>
      </c>
      <c r="K14">
        <v>1</v>
      </c>
      <c r="L14" s="1">
        <v>42405</v>
      </c>
      <c r="M14" t="s">
        <v>2</v>
      </c>
      <c r="N14">
        <f>SUM(Table6[[#This Row],[15 ~ 19]:[&gt;= 60]])</f>
        <v>74</v>
      </c>
    </row>
    <row r="15" spans="1:14" x14ac:dyDescent="0.3">
      <c r="A15" t="s">
        <v>20</v>
      </c>
      <c r="B15">
        <v>0</v>
      </c>
      <c r="C15">
        <v>3</v>
      </c>
      <c r="D15">
        <v>24</v>
      </c>
      <c r="E15">
        <v>17</v>
      </c>
      <c r="F15">
        <v>5</v>
      </c>
      <c r="G15">
        <v>8</v>
      </c>
      <c r="H15">
        <v>2</v>
      </c>
      <c r="I15">
        <v>7</v>
      </c>
      <c r="J15">
        <v>1</v>
      </c>
      <c r="K15">
        <v>2</v>
      </c>
      <c r="L15" s="1">
        <v>42434</v>
      </c>
      <c r="M15" t="s">
        <v>24</v>
      </c>
      <c r="N15">
        <f>SUM(Table6[[#This Row],[15 ~ 19]:[&gt;= 60]])</f>
        <v>69</v>
      </c>
    </row>
    <row r="16" spans="1:14" x14ac:dyDescent="0.3">
      <c r="A16" t="s">
        <v>20</v>
      </c>
      <c r="B16">
        <v>0</v>
      </c>
      <c r="C16">
        <v>4</v>
      </c>
      <c r="D16">
        <v>12</v>
      </c>
      <c r="E16">
        <v>10</v>
      </c>
      <c r="F16">
        <v>8</v>
      </c>
      <c r="G16">
        <v>6</v>
      </c>
      <c r="H16">
        <v>5</v>
      </c>
      <c r="I16">
        <v>3</v>
      </c>
      <c r="J16">
        <v>1</v>
      </c>
      <c r="K16">
        <v>0</v>
      </c>
      <c r="L16" s="1">
        <v>42558</v>
      </c>
      <c r="M16" t="s">
        <v>25</v>
      </c>
      <c r="N16">
        <f>SUM(Table6[[#This Row],[15 ~ 19]:[&gt;= 60]])</f>
        <v>49</v>
      </c>
    </row>
    <row r="17" spans="1:14" x14ac:dyDescent="0.3">
      <c r="A17" t="s">
        <v>20</v>
      </c>
      <c r="B17">
        <v>0</v>
      </c>
      <c r="C17">
        <v>3</v>
      </c>
      <c r="D17">
        <v>13</v>
      </c>
      <c r="E17">
        <v>21</v>
      </c>
      <c r="F17">
        <v>8</v>
      </c>
      <c r="G17">
        <v>12</v>
      </c>
      <c r="H17">
        <v>8</v>
      </c>
      <c r="I17">
        <v>4</v>
      </c>
      <c r="J17">
        <v>7</v>
      </c>
      <c r="K17">
        <v>1</v>
      </c>
      <c r="L17" t="s">
        <v>42</v>
      </c>
      <c r="M17" t="s">
        <v>26</v>
      </c>
      <c r="N17">
        <f>SUM(Table6[[#This Row],[15 ~ 19]:[&gt;= 60]])</f>
        <v>77</v>
      </c>
    </row>
    <row r="18" spans="1:14" x14ac:dyDescent="0.3">
      <c r="A18" t="s">
        <v>20</v>
      </c>
      <c r="B18">
        <v>0</v>
      </c>
      <c r="C18">
        <v>7</v>
      </c>
      <c r="D18">
        <v>11</v>
      </c>
      <c r="E18">
        <v>8</v>
      </c>
      <c r="F18">
        <v>10</v>
      </c>
      <c r="G18">
        <v>2</v>
      </c>
      <c r="H18">
        <v>8</v>
      </c>
      <c r="I18">
        <v>3</v>
      </c>
      <c r="J18">
        <v>2</v>
      </c>
      <c r="K18">
        <v>0</v>
      </c>
      <c r="L18" s="1">
        <v>42799</v>
      </c>
      <c r="M18" t="s">
        <v>2</v>
      </c>
      <c r="N18">
        <f>SUM(Table6[[#This Row],[15 ~ 19]:[&gt;= 60]])</f>
        <v>51</v>
      </c>
    </row>
    <row r="19" spans="1:14" x14ac:dyDescent="0.3">
      <c r="A19" t="s">
        <v>20</v>
      </c>
      <c r="B19">
        <v>0</v>
      </c>
      <c r="C19">
        <v>4</v>
      </c>
      <c r="D19">
        <v>12</v>
      </c>
      <c r="E19">
        <v>8</v>
      </c>
      <c r="F19">
        <v>6</v>
      </c>
      <c r="G19">
        <v>2</v>
      </c>
      <c r="H19">
        <v>1</v>
      </c>
      <c r="I19">
        <v>1</v>
      </c>
      <c r="J19">
        <v>0</v>
      </c>
      <c r="K19">
        <v>2</v>
      </c>
      <c r="L19" s="1">
        <v>42924</v>
      </c>
      <c r="M19" t="s">
        <v>24</v>
      </c>
      <c r="N19">
        <f>SUM(Table6[[#This Row],[15 ~ 19]:[&gt;= 60]])</f>
        <v>36</v>
      </c>
    </row>
    <row r="20" spans="1:14" x14ac:dyDescent="0.3">
      <c r="A20" t="s">
        <v>20</v>
      </c>
      <c r="B20">
        <v>0</v>
      </c>
      <c r="C20">
        <v>0</v>
      </c>
      <c r="D20">
        <v>3</v>
      </c>
      <c r="E20">
        <v>5</v>
      </c>
      <c r="F20">
        <v>4</v>
      </c>
      <c r="G20">
        <v>3</v>
      </c>
      <c r="H20">
        <v>2</v>
      </c>
      <c r="I20">
        <v>2</v>
      </c>
      <c r="J20">
        <v>3</v>
      </c>
      <c r="K20">
        <v>0</v>
      </c>
      <c r="L20" s="1">
        <v>42979</v>
      </c>
      <c r="M20" t="s">
        <v>25</v>
      </c>
      <c r="N20">
        <f>SUM(Table6[[#This Row],[15 ~ 19]:[&gt;= 60]])</f>
        <v>22</v>
      </c>
    </row>
    <row r="21" spans="1:14" x14ac:dyDescent="0.3">
      <c r="A21" t="s">
        <v>20</v>
      </c>
      <c r="B21">
        <v>0</v>
      </c>
      <c r="C21">
        <v>1</v>
      </c>
      <c r="D21">
        <v>8</v>
      </c>
      <c r="E21">
        <v>12</v>
      </c>
      <c r="F21">
        <v>6</v>
      </c>
      <c r="G21">
        <v>7</v>
      </c>
      <c r="H21">
        <v>4</v>
      </c>
      <c r="I21">
        <v>5</v>
      </c>
      <c r="J21">
        <v>5</v>
      </c>
      <c r="K21">
        <v>1</v>
      </c>
      <c r="L21" s="1">
        <v>42980</v>
      </c>
      <c r="M21" t="s">
        <v>26</v>
      </c>
      <c r="N21">
        <f>SUM(Table6[[#This Row],[15 ~ 19]:[&gt;= 60]])</f>
        <v>49</v>
      </c>
    </row>
    <row r="22" spans="1:14" x14ac:dyDescent="0.3">
      <c r="A22" t="s">
        <v>20</v>
      </c>
      <c r="B22">
        <v>0</v>
      </c>
      <c r="C22">
        <v>2</v>
      </c>
      <c r="D22">
        <v>7</v>
      </c>
      <c r="E22">
        <v>12</v>
      </c>
      <c r="F22">
        <v>6</v>
      </c>
      <c r="G22">
        <v>5</v>
      </c>
      <c r="H22">
        <v>5</v>
      </c>
      <c r="I22">
        <v>3</v>
      </c>
      <c r="J22">
        <v>3</v>
      </c>
      <c r="K22">
        <v>1</v>
      </c>
      <c r="L22" s="1">
        <v>43154</v>
      </c>
      <c r="M22" t="s">
        <v>2</v>
      </c>
      <c r="N22">
        <f>SUM(Table6[[#This Row],[15 ~ 19]:[&gt;= 60]])</f>
        <v>44</v>
      </c>
    </row>
    <row r="23" spans="1:14" x14ac:dyDescent="0.3">
      <c r="A23" t="s">
        <v>20</v>
      </c>
      <c r="B23">
        <v>0</v>
      </c>
      <c r="C23">
        <v>1</v>
      </c>
      <c r="D23">
        <v>8</v>
      </c>
      <c r="E23">
        <v>10</v>
      </c>
      <c r="F23">
        <v>3</v>
      </c>
      <c r="G23">
        <v>5</v>
      </c>
      <c r="H23">
        <v>1</v>
      </c>
      <c r="I23">
        <v>4</v>
      </c>
      <c r="J23">
        <v>0</v>
      </c>
      <c r="K23">
        <v>5</v>
      </c>
      <c r="L23" s="1">
        <v>43243</v>
      </c>
      <c r="M23" t="s">
        <v>24</v>
      </c>
      <c r="N23">
        <f>SUM(Table6[[#This Row],[15 ~ 19]:[&gt;= 60]])</f>
        <v>37</v>
      </c>
    </row>
    <row r="24" spans="1:14" x14ac:dyDescent="0.3">
      <c r="A24" t="s">
        <v>20</v>
      </c>
      <c r="B24">
        <v>0</v>
      </c>
      <c r="C24">
        <v>3</v>
      </c>
      <c r="D24">
        <v>8</v>
      </c>
      <c r="E24">
        <v>4</v>
      </c>
      <c r="F24">
        <v>6</v>
      </c>
      <c r="G24">
        <v>2</v>
      </c>
      <c r="H24">
        <v>1</v>
      </c>
      <c r="I24">
        <v>3</v>
      </c>
      <c r="J24">
        <v>1</v>
      </c>
      <c r="K24">
        <v>2</v>
      </c>
      <c r="L24" s="1">
        <v>43243</v>
      </c>
      <c r="M24" t="s">
        <v>24</v>
      </c>
      <c r="N24">
        <f>SUM(Table6[[#This Row],[15 ~ 19]:[&gt;= 60]])</f>
        <v>30</v>
      </c>
    </row>
    <row r="25" spans="1:14" x14ac:dyDescent="0.3">
      <c r="A25" t="s">
        <v>20</v>
      </c>
      <c r="B25">
        <v>0</v>
      </c>
      <c r="C25">
        <v>1</v>
      </c>
      <c r="D25">
        <v>5</v>
      </c>
      <c r="E25">
        <v>12</v>
      </c>
      <c r="F25">
        <v>11</v>
      </c>
      <c r="G25">
        <v>3</v>
      </c>
      <c r="H25">
        <v>4</v>
      </c>
      <c r="I25">
        <v>3</v>
      </c>
      <c r="J25">
        <v>2</v>
      </c>
      <c r="K25">
        <v>2</v>
      </c>
      <c r="L25" s="1">
        <v>43243</v>
      </c>
      <c r="M25" t="s">
        <v>24</v>
      </c>
      <c r="N25">
        <f>SUM(Table6[[#This Row],[15 ~ 19]:[&gt;= 60]])</f>
        <v>43</v>
      </c>
    </row>
    <row r="26" spans="1:14" x14ac:dyDescent="0.3">
      <c r="A26" t="s">
        <v>14</v>
      </c>
      <c r="B26">
        <v>0</v>
      </c>
      <c r="C26">
        <v>0</v>
      </c>
      <c r="D26">
        <v>4</v>
      </c>
      <c r="E26">
        <v>7</v>
      </c>
      <c r="F26">
        <v>7</v>
      </c>
      <c r="G26">
        <v>0</v>
      </c>
      <c r="H26">
        <v>3</v>
      </c>
      <c r="I26">
        <v>0</v>
      </c>
      <c r="J26">
        <v>0</v>
      </c>
      <c r="K26">
        <v>0</v>
      </c>
      <c r="L26" s="1">
        <v>42405</v>
      </c>
      <c r="M26" t="s">
        <v>2</v>
      </c>
      <c r="N26">
        <f>SUM(Table6[[#This Row],[15 ~ 19]:[&gt;= 60]])</f>
        <v>21</v>
      </c>
    </row>
    <row r="27" spans="1:14" x14ac:dyDescent="0.3">
      <c r="A27" t="s">
        <v>14</v>
      </c>
      <c r="B27">
        <v>0</v>
      </c>
      <c r="C27">
        <v>1</v>
      </c>
      <c r="D27">
        <v>2</v>
      </c>
      <c r="E27">
        <v>3</v>
      </c>
      <c r="F27">
        <v>2</v>
      </c>
      <c r="G27">
        <v>0</v>
      </c>
      <c r="H27">
        <v>2</v>
      </c>
      <c r="I27">
        <v>1</v>
      </c>
      <c r="J27">
        <v>1</v>
      </c>
      <c r="K27">
        <v>0</v>
      </c>
      <c r="L27" s="1">
        <v>42434</v>
      </c>
      <c r="M27" t="s">
        <v>24</v>
      </c>
      <c r="N27">
        <f>SUM(Table6[[#This Row],[15 ~ 19]:[&gt;= 60]])</f>
        <v>12</v>
      </c>
    </row>
    <row r="28" spans="1:14" x14ac:dyDescent="0.3">
      <c r="A28" t="s">
        <v>14</v>
      </c>
      <c r="B28">
        <v>0</v>
      </c>
      <c r="C28">
        <v>1</v>
      </c>
      <c r="D28">
        <v>7</v>
      </c>
      <c r="E28">
        <v>3</v>
      </c>
      <c r="F28">
        <v>3</v>
      </c>
      <c r="G28">
        <v>1</v>
      </c>
      <c r="H28">
        <v>4</v>
      </c>
      <c r="I28">
        <v>2</v>
      </c>
      <c r="J28">
        <v>1</v>
      </c>
      <c r="K28">
        <v>2</v>
      </c>
      <c r="L28" s="1">
        <v>42558</v>
      </c>
      <c r="M28" t="s">
        <v>25</v>
      </c>
      <c r="N28">
        <f>SUM(Table6[[#This Row],[15 ~ 19]:[&gt;= 60]])</f>
        <v>24</v>
      </c>
    </row>
    <row r="29" spans="1:14" x14ac:dyDescent="0.3">
      <c r="A29" t="s">
        <v>14</v>
      </c>
      <c r="B29">
        <v>0</v>
      </c>
      <c r="C29">
        <v>1</v>
      </c>
      <c r="D29">
        <v>6</v>
      </c>
      <c r="E29">
        <v>3</v>
      </c>
      <c r="F29">
        <v>6</v>
      </c>
      <c r="G29">
        <v>4</v>
      </c>
      <c r="H29">
        <v>3</v>
      </c>
      <c r="I29">
        <v>2</v>
      </c>
      <c r="J29">
        <v>0</v>
      </c>
      <c r="K29">
        <v>0</v>
      </c>
      <c r="L29" t="s">
        <v>42</v>
      </c>
      <c r="M29" t="s">
        <v>26</v>
      </c>
      <c r="N29">
        <f>SUM(Table6[[#This Row],[15 ~ 19]:[&gt;= 60]])</f>
        <v>25</v>
      </c>
    </row>
    <row r="30" spans="1:14" x14ac:dyDescent="0.3">
      <c r="A30" t="s">
        <v>14</v>
      </c>
      <c r="B30">
        <v>0</v>
      </c>
      <c r="C30">
        <v>0</v>
      </c>
      <c r="D30">
        <v>2</v>
      </c>
      <c r="E30">
        <v>4</v>
      </c>
      <c r="F30">
        <v>4</v>
      </c>
      <c r="G30">
        <v>3</v>
      </c>
      <c r="H30">
        <v>3</v>
      </c>
      <c r="I30">
        <v>2</v>
      </c>
      <c r="J30">
        <v>0</v>
      </c>
      <c r="K30">
        <v>0</v>
      </c>
      <c r="L30" s="1">
        <v>42793</v>
      </c>
      <c r="M30" t="s">
        <v>2</v>
      </c>
      <c r="N30">
        <f>SUM(Table6[[#This Row],[15 ~ 19]:[&gt;= 60]])</f>
        <v>18</v>
      </c>
    </row>
    <row r="31" spans="1:14" x14ac:dyDescent="0.3">
      <c r="A31" t="s">
        <v>14</v>
      </c>
      <c r="B31">
        <v>0</v>
      </c>
      <c r="C31">
        <v>0</v>
      </c>
      <c r="D31">
        <v>2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42924</v>
      </c>
      <c r="M31" t="s">
        <v>24</v>
      </c>
      <c r="N31">
        <f>SUM(Table6[[#This Row],[15 ~ 19]:[&gt;= 60]])</f>
        <v>3</v>
      </c>
    </row>
    <row r="32" spans="1:14" x14ac:dyDescent="0.3">
      <c r="A32" t="s">
        <v>14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42974</v>
      </c>
      <c r="M32" t="s">
        <v>25</v>
      </c>
      <c r="N32">
        <f>SUM(Table6[[#This Row],[15 ~ 19]:[&gt;= 60]])</f>
        <v>1</v>
      </c>
    </row>
    <row r="33" spans="1:14" x14ac:dyDescent="0.3">
      <c r="A33" t="s">
        <v>14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">
        <v>42974</v>
      </c>
      <c r="M33" t="s">
        <v>26</v>
      </c>
      <c r="N33">
        <f>SUM(Table6[[#This Row],[15 ~ 19]:[&gt;= 60]])</f>
        <v>1</v>
      </c>
    </row>
    <row r="34" spans="1:14" x14ac:dyDescent="0.3">
      <c r="A34" t="s">
        <v>14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2</v>
      </c>
      <c r="K34">
        <v>0</v>
      </c>
      <c r="L34" s="1">
        <v>43148</v>
      </c>
      <c r="M34" t="s">
        <v>2</v>
      </c>
      <c r="N34">
        <f>SUM(Table6[[#This Row],[15 ~ 19]:[&gt;= 60]])</f>
        <v>6</v>
      </c>
    </row>
    <row r="35" spans="1:14" x14ac:dyDescent="0.3">
      <c r="A35" t="s">
        <v>14</v>
      </c>
      <c r="B35">
        <v>0</v>
      </c>
      <c r="C35">
        <v>0</v>
      </c>
      <c r="D35">
        <v>1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 s="1">
        <v>43237</v>
      </c>
      <c r="M35" t="s">
        <v>24</v>
      </c>
      <c r="N35">
        <f>SUM(Table6[[#This Row],[15 ~ 19]:[&gt;= 60]])</f>
        <v>3</v>
      </c>
    </row>
    <row r="36" spans="1:14" x14ac:dyDescent="0.3">
      <c r="A36" t="s">
        <v>14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 s="1">
        <v>43237</v>
      </c>
      <c r="M36" t="s">
        <v>24</v>
      </c>
      <c r="N36">
        <f>SUM(Table6[[#This Row],[15 ~ 19]:[&gt;= 60]])</f>
        <v>1</v>
      </c>
    </row>
    <row r="37" spans="1:14" x14ac:dyDescent="0.3">
      <c r="A37" t="s">
        <v>14</v>
      </c>
      <c r="B37">
        <v>0</v>
      </c>
      <c r="C37">
        <v>0</v>
      </c>
      <c r="D37">
        <v>7</v>
      </c>
      <c r="E37">
        <v>9</v>
      </c>
      <c r="F37">
        <v>7</v>
      </c>
      <c r="G37">
        <v>2</v>
      </c>
      <c r="H37">
        <v>4</v>
      </c>
      <c r="I37">
        <v>2</v>
      </c>
      <c r="J37">
        <v>0</v>
      </c>
      <c r="K37">
        <v>0</v>
      </c>
      <c r="L37" s="1">
        <v>43237</v>
      </c>
      <c r="M37" t="s">
        <v>24</v>
      </c>
      <c r="N37">
        <f>SUM(Table6[[#This Row],[15 ~ 19]:[&gt;= 60]])</f>
        <v>31</v>
      </c>
    </row>
    <row r="38" spans="1:14" x14ac:dyDescent="0.3">
      <c r="A38" t="s">
        <v>5</v>
      </c>
      <c r="B38">
        <v>1</v>
      </c>
      <c r="C38">
        <v>3</v>
      </c>
      <c r="D38">
        <v>3</v>
      </c>
      <c r="E38">
        <v>4</v>
      </c>
      <c r="F38">
        <v>4</v>
      </c>
      <c r="G38">
        <v>4</v>
      </c>
      <c r="H38">
        <v>2</v>
      </c>
      <c r="I38">
        <v>2</v>
      </c>
      <c r="J38">
        <v>2</v>
      </c>
      <c r="K38">
        <v>2</v>
      </c>
      <c r="L38" s="1">
        <v>42405</v>
      </c>
      <c r="M38" t="s">
        <v>2</v>
      </c>
      <c r="N38">
        <f>SUM(Table6[[#This Row],[15 ~ 19]:[&gt;= 60]])</f>
        <v>27</v>
      </c>
    </row>
    <row r="39" spans="1:14" x14ac:dyDescent="0.3">
      <c r="A39" t="s">
        <v>5</v>
      </c>
      <c r="B39">
        <v>0</v>
      </c>
      <c r="C39">
        <v>6</v>
      </c>
      <c r="D39">
        <v>21</v>
      </c>
      <c r="E39">
        <v>8</v>
      </c>
      <c r="F39">
        <v>6</v>
      </c>
      <c r="G39">
        <v>3</v>
      </c>
      <c r="H39">
        <v>4</v>
      </c>
      <c r="I39">
        <v>2</v>
      </c>
      <c r="J39">
        <v>1</v>
      </c>
      <c r="K39">
        <v>0</v>
      </c>
      <c r="L39" s="1">
        <v>42434</v>
      </c>
      <c r="M39" t="s">
        <v>24</v>
      </c>
      <c r="N39">
        <f>SUM(Table6[[#This Row],[15 ~ 19]:[&gt;= 60]])</f>
        <v>51</v>
      </c>
    </row>
    <row r="40" spans="1:14" x14ac:dyDescent="0.3">
      <c r="A40" t="s">
        <v>5</v>
      </c>
      <c r="B40" t="s">
        <v>41</v>
      </c>
      <c r="C40">
        <v>2</v>
      </c>
      <c r="D40">
        <v>8</v>
      </c>
      <c r="E40">
        <v>11</v>
      </c>
      <c r="F40">
        <v>3</v>
      </c>
      <c r="G40">
        <v>5</v>
      </c>
      <c r="H40">
        <v>1</v>
      </c>
      <c r="I40">
        <v>3</v>
      </c>
      <c r="J40">
        <v>3</v>
      </c>
      <c r="K40">
        <v>0</v>
      </c>
      <c r="L40" s="1">
        <v>42558</v>
      </c>
      <c r="M40" t="s">
        <v>25</v>
      </c>
      <c r="N40">
        <f>SUM(Table6[[#This Row],[15 ~ 19]:[&gt;= 60]])</f>
        <v>36</v>
      </c>
    </row>
    <row r="41" spans="1:14" x14ac:dyDescent="0.3">
      <c r="A41" t="s">
        <v>5</v>
      </c>
      <c r="B41">
        <v>0</v>
      </c>
      <c r="C41">
        <v>6</v>
      </c>
      <c r="D41">
        <v>12</v>
      </c>
      <c r="E41">
        <v>11</v>
      </c>
      <c r="F41">
        <v>9</v>
      </c>
      <c r="G41">
        <v>9</v>
      </c>
      <c r="H41">
        <v>3</v>
      </c>
      <c r="I41">
        <v>3</v>
      </c>
      <c r="J41">
        <v>1</v>
      </c>
      <c r="K41">
        <v>2</v>
      </c>
      <c r="L41" t="s">
        <v>42</v>
      </c>
      <c r="M41" t="s">
        <v>26</v>
      </c>
      <c r="N41">
        <f>SUM(Table6[[#This Row],[15 ~ 19]:[&gt;= 60]])</f>
        <v>56</v>
      </c>
    </row>
    <row r="42" spans="1:14" x14ac:dyDescent="0.3">
      <c r="A42" t="s">
        <v>5</v>
      </c>
      <c r="B42">
        <v>1</v>
      </c>
      <c r="C42">
        <v>9</v>
      </c>
      <c r="D42">
        <v>20</v>
      </c>
      <c r="E42">
        <v>13</v>
      </c>
      <c r="F42">
        <v>4</v>
      </c>
      <c r="G42">
        <v>6</v>
      </c>
      <c r="H42">
        <v>3</v>
      </c>
      <c r="I42">
        <v>1</v>
      </c>
      <c r="J42">
        <v>4</v>
      </c>
      <c r="K42">
        <v>1</v>
      </c>
      <c r="L42" s="1">
        <v>42784</v>
      </c>
      <c r="M42" t="s">
        <v>2</v>
      </c>
      <c r="N42">
        <f>SUM(Table6[[#This Row],[15 ~ 19]:[&gt;= 60]])</f>
        <v>62</v>
      </c>
    </row>
    <row r="43" spans="1:14" x14ac:dyDescent="0.3">
      <c r="A43" t="s">
        <v>5</v>
      </c>
      <c r="B43">
        <v>0</v>
      </c>
      <c r="C43">
        <v>1</v>
      </c>
      <c r="D43">
        <v>2</v>
      </c>
      <c r="E43">
        <v>3</v>
      </c>
      <c r="F43">
        <v>3</v>
      </c>
      <c r="G43">
        <v>3</v>
      </c>
      <c r="H43">
        <v>1</v>
      </c>
      <c r="I43">
        <v>0</v>
      </c>
      <c r="J43">
        <v>0</v>
      </c>
      <c r="K43">
        <v>0</v>
      </c>
      <c r="L43" s="1">
        <v>42924</v>
      </c>
      <c r="M43" t="s">
        <v>24</v>
      </c>
      <c r="N43">
        <f>SUM(Table6[[#This Row],[15 ~ 19]:[&gt;= 60]])</f>
        <v>13</v>
      </c>
    </row>
    <row r="44" spans="1:14" x14ac:dyDescent="0.3">
      <c r="A44" t="s">
        <v>5</v>
      </c>
      <c r="B44">
        <v>1</v>
      </c>
      <c r="C44">
        <v>1</v>
      </c>
      <c r="D44">
        <v>5</v>
      </c>
      <c r="E44">
        <v>3</v>
      </c>
      <c r="F44">
        <v>3</v>
      </c>
      <c r="G44">
        <v>6</v>
      </c>
      <c r="H44">
        <v>0</v>
      </c>
      <c r="I44">
        <v>1</v>
      </c>
      <c r="J44">
        <v>0</v>
      </c>
      <c r="K44">
        <v>0</v>
      </c>
      <c r="L44" s="1">
        <v>42965</v>
      </c>
      <c r="M44" t="s">
        <v>25</v>
      </c>
      <c r="N44">
        <f>SUM(Table6[[#This Row],[15 ~ 19]:[&gt;= 60]])</f>
        <v>20</v>
      </c>
    </row>
    <row r="45" spans="1:14" x14ac:dyDescent="0.3">
      <c r="A45" t="s">
        <v>5</v>
      </c>
      <c r="B45">
        <v>1</v>
      </c>
      <c r="C45">
        <v>2</v>
      </c>
      <c r="D45">
        <v>5</v>
      </c>
      <c r="E45">
        <v>5</v>
      </c>
      <c r="F45">
        <v>6</v>
      </c>
      <c r="G45">
        <v>2</v>
      </c>
      <c r="H45">
        <v>2</v>
      </c>
      <c r="I45">
        <v>1</v>
      </c>
      <c r="J45">
        <v>0</v>
      </c>
      <c r="K45">
        <v>0</v>
      </c>
      <c r="L45" s="1">
        <v>42965</v>
      </c>
      <c r="M45" t="s">
        <v>26</v>
      </c>
      <c r="N45">
        <f>SUM(Table6[[#This Row],[15 ~ 19]:[&gt;= 60]])</f>
        <v>24</v>
      </c>
    </row>
    <row r="46" spans="1:14" x14ac:dyDescent="0.3">
      <c r="A46" t="s">
        <v>5</v>
      </c>
      <c r="B46">
        <v>1</v>
      </c>
      <c r="C46">
        <v>2</v>
      </c>
      <c r="D46">
        <v>6</v>
      </c>
      <c r="E46">
        <v>8</v>
      </c>
      <c r="F46">
        <v>3</v>
      </c>
      <c r="G46">
        <v>7</v>
      </c>
      <c r="H46">
        <v>1</v>
      </c>
      <c r="I46">
        <v>4</v>
      </c>
      <c r="J46">
        <v>2</v>
      </c>
      <c r="K46">
        <v>0</v>
      </c>
      <c r="L46" s="1">
        <v>43139</v>
      </c>
      <c r="M46" t="s">
        <v>2</v>
      </c>
      <c r="N46">
        <f>SUM(Table6[[#This Row],[15 ~ 19]:[&gt;= 60]])</f>
        <v>34</v>
      </c>
    </row>
    <row r="47" spans="1:14" x14ac:dyDescent="0.3">
      <c r="A47" t="s">
        <v>5</v>
      </c>
      <c r="B47">
        <v>0</v>
      </c>
      <c r="C47">
        <v>0</v>
      </c>
      <c r="D47">
        <v>6</v>
      </c>
      <c r="E47">
        <v>4</v>
      </c>
      <c r="F47">
        <v>1</v>
      </c>
      <c r="G47">
        <v>1</v>
      </c>
      <c r="H47">
        <v>5</v>
      </c>
      <c r="I47">
        <v>2</v>
      </c>
      <c r="J47">
        <v>1</v>
      </c>
      <c r="K47">
        <v>0</v>
      </c>
      <c r="L47" s="1">
        <v>43228</v>
      </c>
      <c r="M47" t="s">
        <v>24</v>
      </c>
      <c r="N47">
        <f>SUM(Table6[[#This Row],[15 ~ 19]:[&gt;= 60]])</f>
        <v>20</v>
      </c>
    </row>
    <row r="48" spans="1:14" x14ac:dyDescent="0.3">
      <c r="A48" t="s">
        <v>5</v>
      </c>
      <c r="B48">
        <v>1</v>
      </c>
      <c r="C48">
        <v>0</v>
      </c>
      <c r="D48">
        <v>5</v>
      </c>
      <c r="E48">
        <v>5</v>
      </c>
      <c r="F48">
        <v>7</v>
      </c>
      <c r="G48">
        <v>2</v>
      </c>
      <c r="H48">
        <v>4</v>
      </c>
      <c r="I48">
        <v>2</v>
      </c>
      <c r="J48">
        <v>0</v>
      </c>
      <c r="K48">
        <v>1</v>
      </c>
      <c r="L48" s="1">
        <v>43228</v>
      </c>
      <c r="M48" t="s">
        <v>24</v>
      </c>
      <c r="N48">
        <f>SUM(Table6[[#This Row],[15 ~ 19]:[&gt;= 60]])</f>
        <v>27</v>
      </c>
    </row>
    <row r="49" spans="1:14" x14ac:dyDescent="0.3">
      <c r="A49" t="s">
        <v>5</v>
      </c>
      <c r="B49">
        <v>0</v>
      </c>
      <c r="C49">
        <v>2</v>
      </c>
      <c r="D49">
        <v>5</v>
      </c>
      <c r="E49">
        <v>4</v>
      </c>
      <c r="F49">
        <v>4</v>
      </c>
      <c r="G49">
        <v>4</v>
      </c>
      <c r="H49">
        <v>1</v>
      </c>
      <c r="I49">
        <v>1</v>
      </c>
      <c r="J49">
        <v>1</v>
      </c>
      <c r="K49">
        <v>0</v>
      </c>
      <c r="L49" s="1">
        <v>43228</v>
      </c>
      <c r="M49" t="s">
        <v>24</v>
      </c>
      <c r="N49">
        <f>SUM(Table6[[#This Row],[15 ~ 19]:[&gt;= 60]])</f>
        <v>22</v>
      </c>
    </row>
    <row r="50" spans="1:14" x14ac:dyDescent="0.3">
      <c r="A50" t="s">
        <v>3</v>
      </c>
      <c r="B50">
        <v>0</v>
      </c>
      <c r="C50">
        <v>14</v>
      </c>
      <c r="D50">
        <v>49</v>
      </c>
      <c r="E50">
        <v>41</v>
      </c>
      <c r="F50">
        <v>26</v>
      </c>
      <c r="G50">
        <v>29</v>
      </c>
      <c r="H50">
        <v>18</v>
      </c>
      <c r="I50">
        <v>11</v>
      </c>
      <c r="J50">
        <v>9</v>
      </c>
      <c r="K50">
        <v>6</v>
      </c>
      <c r="L50" s="1">
        <v>42405</v>
      </c>
      <c r="M50" t="s">
        <v>2</v>
      </c>
      <c r="N50">
        <f>SUM(Table6[[#This Row],[15 ~ 19]:[&gt;= 60]])</f>
        <v>203</v>
      </c>
    </row>
    <row r="51" spans="1:14" x14ac:dyDescent="0.3">
      <c r="A51" t="s">
        <v>3</v>
      </c>
      <c r="B51">
        <v>0</v>
      </c>
      <c r="C51">
        <v>19</v>
      </c>
      <c r="D51">
        <v>57</v>
      </c>
      <c r="E51">
        <v>58</v>
      </c>
      <c r="F51">
        <v>37</v>
      </c>
      <c r="G51">
        <v>27</v>
      </c>
      <c r="H51">
        <v>16</v>
      </c>
      <c r="I51">
        <v>6</v>
      </c>
      <c r="J51">
        <v>6</v>
      </c>
      <c r="K51">
        <v>2</v>
      </c>
      <c r="L51" s="1">
        <v>42434</v>
      </c>
      <c r="M51" t="s">
        <v>24</v>
      </c>
      <c r="N51">
        <f>SUM(Table6[[#This Row],[15 ~ 19]:[&gt;= 60]])</f>
        <v>228</v>
      </c>
    </row>
    <row r="52" spans="1:14" x14ac:dyDescent="0.3">
      <c r="A52" t="s">
        <v>3</v>
      </c>
      <c r="B52">
        <v>0</v>
      </c>
      <c r="C52">
        <v>21</v>
      </c>
      <c r="D52">
        <v>48</v>
      </c>
      <c r="E52">
        <v>35</v>
      </c>
      <c r="F52">
        <v>34</v>
      </c>
      <c r="G52">
        <v>21</v>
      </c>
      <c r="H52">
        <v>18</v>
      </c>
      <c r="I52">
        <v>11</v>
      </c>
      <c r="J52">
        <v>4</v>
      </c>
      <c r="K52">
        <v>1</v>
      </c>
      <c r="L52" s="1">
        <v>42558</v>
      </c>
      <c r="M52" t="s">
        <v>25</v>
      </c>
      <c r="N52">
        <f>SUM(Table6[[#This Row],[15 ~ 19]:[&gt;= 60]])</f>
        <v>193</v>
      </c>
    </row>
    <row r="53" spans="1:14" x14ac:dyDescent="0.3">
      <c r="A53" t="s">
        <v>3</v>
      </c>
      <c r="B53">
        <v>0</v>
      </c>
      <c r="C53">
        <v>30</v>
      </c>
      <c r="D53">
        <v>62</v>
      </c>
      <c r="E53">
        <v>51</v>
      </c>
      <c r="F53">
        <v>52</v>
      </c>
      <c r="G53">
        <v>42</v>
      </c>
      <c r="H53">
        <v>31</v>
      </c>
      <c r="I53">
        <v>20</v>
      </c>
      <c r="J53">
        <v>9</v>
      </c>
      <c r="K53">
        <v>7</v>
      </c>
      <c r="L53" t="s">
        <v>42</v>
      </c>
      <c r="M53" t="s">
        <v>26</v>
      </c>
      <c r="N53">
        <f>SUM(Table6[[#This Row],[15 ~ 19]:[&gt;= 60]])</f>
        <v>304</v>
      </c>
    </row>
    <row r="54" spans="1:14" x14ac:dyDescent="0.3">
      <c r="A54" t="s">
        <v>3</v>
      </c>
      <c r="B54">
        <v>0</v>
      </c>
      <c r="C54">
        <v>27</v>
      </c>
      <c r="D54">
        <v>52</v>
      </c>
      <c r="E54">
        <v>76</v>
      </c>
      <c r="F54">
        <v>54</v>
      </c>
      <c r="G54">
        <v>36</v>
      </c>
      <c r="H54">
        <v>21</v>
      </c>
      <c r="I54">
        <v>11</v>
      </c>
      <c r="J54">
        <v>4</v>
      </c>
      <c r="K54">
        <v>5</v>
      </c>
      <c r="L54" s="1">
        <v>42782</v>
      </c>
      <c r="M54" t="s">
        <v>2</v>
      </c>
      <c r="N54">
        <f>SUM(Table6[[#This Row],[15 ~ 19]:[&gt;= 60]])</f>
        <v>286</v>
      </c>
    </row>
    <row r="55" spans="1:14" x14ac:dyDescent="0.3">
      <c r="A55" t="s">
        <v>3</v>
      </c>
      <c r="B55">
        <v>0</v>
      </c>
      <c r="C55">
        <v>9</v>
      </c>
      <c r="D55">
        <v>47</v>
      </c>
      <c r="E55">
        <v>41</v>
      </c>
      <c r="F55">
        <v>25</v>
      </c>
      <c r="G55">
        <v>13</v>
      </c>
      <c r="H55">
        <v>16</v>
      </c>
      <c r="I55">
        <v>8</v>
      </c>
      <c r="J55">
        <v>7</v>
      </c>
      <c r="K55">
        <v>1</v>
      </c>
      <c r="L55" s="1">
        <v>42924</v>
      </c>
      <c r="M55" t="s">
        <v>24</v>
      </c>
      <c r="N55">
        <f>SUM(Table6[[#This Row],[15 ~ 19]:[&gt;= 60]])</f>
        <v>167</v>
      </c>
    </row>
    <row r="56" spans="1:14" x14ac:dyDescent="0.3">
      <c r="A56" t="s">
        <v>3</v>
      </c>
      <c r="B56">
        <v>0</v>
      </c>
      <c r="C56">
        <v>14</v>
      </c>
      <c r="D56">
        <v>32</v>
      </c>
      <c r="E56">
        <v>39</v>
      </c>
      <c r="F56">
        <v>41</v>
      </c>
      <c r="G56">
        <v>23</v>
      </c>
      <c r="H56">
        <v>17</v>
      </c>
      <c r="I56">
        <v>9</v>
      </c>
      <c r="J56">
        <v>6</v>
      </c>
      <c r="K56">
        <v>4</v>
      </c>
      <c r="L56" s="1">
        <v>42963</v>
      </c>
      <c r="M56" t="s">
        <v>25</v>
      </c>
      <c r="N56">
        <f>SUM(Table6[[#This Row],[15 ~ 19]:[&gt;= 60]])</f>
        <v>185</v>
      </c>
    </row>
    <row r="57" spans="1:14" x14ac:dyDescent="0.3">
      <c r="A57" t="s">
        <v>3</v>
      </c>
      <c r="B57">
        <v>0</v>
      </c>
      <c r="C57">
        <v>10</v>
      </c>
      <c r="D57">
        <v>47</v>
      </c>
      <c r="E57">
        <v>43</v>
      </c>
      <c r="F57">
        <v>41</v>
      </c>
      <c r="G57">
        <v>20</v>
      </c>
      <c r="H57">
        <v>14</v>
      </c>
      <c r="I57">
        <v>11</v>
      </c>
      <c r="J57">
        <v>8</v>
      </c>
      <c r="K57">
        <v>4</v>
      </c>
      <c r="L57" s="1">
        <v>42963</v>
      </c>
      <c r="M57" t="s">
        <v>26</v>
      </c>
      <c r="N57">
        <f>SUM(Table6[[#This Row],[15 ~ 19]:[&gt;= 60]])</f>
        <v>198</v>
      </c>
    </row>
    <row r="58" spans="1:14" x14ac:dyDescent="0.3">
      <c r="A58" t="s">
        <v>3</v>
      </c>
      <c r="B58">
        <v>0</v>
      </c>
      <c r="C58">
        <v>14</v>
      </c>
      <c r="D58">
        <v>40</v>
      </c>
      <c r="E58">
        <v>51</v>
      </c>
      <c r="F58">
        <v>40</v>
      </c>
      <c r="G58">
        <v>25</v>
      </c>
      <c r="H58">
        <v>15</v>
      </c>
      <c r="I58">
        <v>11</v>
      </c>
      <c r="J58">
        <v>4</v>
      </c>
      <c r="K58">
        <v>4</v>
      </c>
      <c r="L58" s="1">
        <v>43137</v>
      </c>
      <c r="M58" t="s">
        <v>2</v>
      </c>
      <c r="N58">
        <f>SUM(Table6[[#This Row],[15 ~ 19]:[&gt;= 60]])</f>
        <v>204</v>
      </c>
    </row>
    <row r="59" spans="1:14" x14ac:dyDescent="0.3">
      <c r="A59" t="s">
        <v>3</v>
      </c>
      <c r="B59">
        <v>0</v>
      </c>
      <c r="C59">
        <v>10</v>
      </c>
      <c r="D59">
        <v>34</v>
      </c>
      <c r="E59">
        <v>39</v>
      </c>
      <c r="F59">
        <v>24</v>
      </c>
      <c r="G59">
        <v>14</v>
      </c>
      <c r="H59">
        <v>14</v>
      </c>
      <c r="I59">
        <v>10</v>
      </c>
      <c r="J59">
        <v>4</v>
      </c>
      <c r="K59">
        <v>3</v>
      </c>
      <c r="L59" s="1">
        <v>43226</v>
      </c>
      <c r="M59" t="s">
        <v>24</v>
      </c>
      <c r="N59">
        <f>SUM(Table6[[#This Row],[15 ~ 19]:[&gt;= 60]])</f>
        <v>152</v>
      </c>
    </row>
    <row r="60" spans="1:14" x14ac:dyDescent="0.3">
      <c r="A60" t="s">
        <v>3</v>
      </c>
      <c r="B60">
        <v>0</v>
      </c>
      <c r="C60">
        <v>11</v>
      </c>
      <c r="D60">
        <v>36</v>
      </c>
      <c r="E60">
        <v>44</v>
      </c>
      <c r="F60">
        <v>28</v>
      </c>
      <c r="G60">
        <v>24</v>
      </c>
      <c r="H60">
        <v>12</v>
      </c>
      <c r="I60">
        <v>14</v>
      </c>
      <c r="J60">
        <v>1</v>
      </c>
      <c r="K60">
        <v>3</v>
      </c>
      <c r="L60" s="1">
        <v>43226</v>
      </c>
      <c r="M60" t="s">
        <v>24</v>
      </c>
      <c r="N60">
        <f>SUM(Table6[[#This Row],[15 ~ 19]:[&gt;= 60]])</f>
        <v>173</v>
      </c>
    </row>
    <row r="61" spans="1:14" x14ac:dyDescent="0.3">
      <c r="A61" t="s">
        <v>3</v>
      </c>
      <c r="B61">
        <v>0</v>
      </c>
      <c r="C61">
        <v>9</v>
      </c>
      <c r="D61">
        <v>49</v>
      </c>
      <c r="E61">
        <v>44</v>
      </c>
      <c r="F61">
        <v>27</v>
      </c>
      <c r="G61">
        <v>14</v>
      </c>
      <c r="H61">
        <v>14</v>
      </c>
      <c r="I61">
        <v>10</v>
      </c>
      <c r="J61">
        <v>6</v>
      </c>
      <c r="K61">
        <v>3</v>
      </c>
      <c r="L61" s="1">
        <v>43226</v>
      </c>
      <c r="M61" t="s">
        <v>24</v>
      </c>
      <c r="N61">
        <f>SUM(Table6[[#This Row],[15 ~ 19]:[&gt;= 60]])</f>
        <v>176</v>
      </c>
    </row>
    <row r="62" spans="1:14" x14ac:dyDescent="0.3">
      <c r="A62" t="s">
        <v>10</v>
      </c>
      <c r="B62">
        <v>0</v>
      </c>
      <c r="C62">
        <v>24</v>
      </c>
      <c r="D62">
        <v>100</v>
      </c>
      <c r="E62">
        <v>71</v>
      </c>
      <c r="F62">
        <v>71</v>
      </c>
      <c r="G62">
        <v>43</v>
      </c>
      <c r="H62">
        <v>39</v>
      </c>
      <c r="I62">
        <v>18</v>
      </c>
      <c r="J62">
        <v>13</v>
      </c>
      <c r="K62">
        <v>17</v>
      </c>
      <c r="L62" s="1">
        <v>42405</v>
      </c>
      <c r="M62" t="s">
        <v>2</v>
      </c>
      <c r="N62">
        <f>SUM(Table6[[#This Row],[15 ~ 19]:[&gt;= 60]])</f>
        <v>396</v>
      </c>
    </row>
    <row r="63" spans="1:14" x14ac:dyDescent="0.3">
      <c r="A63" t="s">
        <v>10</v>
      </c>
      <c r="B63">
        <v>0</v>
      </c>
      <c r="C63">
        <v>17</v>
      </c>
      <c r="D63">
        <v>65</v>
      </c>
      <c r="E63">
        <v>61</v>
      </c>
      <c r="F63">
        <v>48</v>
      </c>
      <c r="G63">
        <v>44</v>
      </c>
      <c r="H63">
        <v>27</v>
      </c>
      <c r="I63">
        <v>24</v>
      </c>
      <c r="J63">
        <v>15</v>
      </c>
      <c r="K63">
        <v>7</v>
      </c>
      <c r="L63" s="1">
        <v>42434</v>
      </c>
      <c r="M63" t="s">
        <v>24</v>
      </c>
      <c r="N63">
        <f>SUM(Table6[[#This Row],[15 ~ 19]:[&gt;= 60]])</f>
        <v>308</v>
      </c>
    </row>
    <row r="64" spans="1:14" x14ac:dyDescent="0.3">
      <c r="A64" t="s">
        <v>10</v>
      </c>
      <c r="B64">
        <v>0</v>
      </c>
      <c r="C64">
        <v>15</v>
      </c>
      <c r="D64">
        <v>47</v>
      </c>
      <c r="E64">
        <v>45</v>
      </c>
      <c r="F64">
        <v>26</v>
      </c>
      <c r="G64">
        <v>36</v>
      </c>
      <c r="H64">
        <v>24</v>
      </c>
      <c r="I64">
        <v>8</v>
      </c>
      <c r="J64">
        <v>7</v>
      </c>
      <c r="K64">
        <v>5</v>
      </c>
      <c r="L64" s="1">
        <v>42558</v>
      </c>
      <c r="M64" t="s">
        <v>25</v>
      </c>
      <c r="N64">
        <f>SUM(Table6[[#This Row],[15 ~ 19]:[&gt;= 60]])</f>
        <v>213</v>
      </c>
    </row>
    <row r="65" spans="1:14" x14ac:dyDescent="0.3">
      <c r="A65" t="s">
        <v>10</v>
      </c>
      <c r="B65">
        <v>0</v>
      </c>
      <c r="C65">
        <v>9</v>
      </c>
      <c r="D65">
        <v>36</v>
      </c>
      <c r="E65">
        <v>44</v>
      </c>
      <c r="F65">
        <v>27</v>
      </c>
      <c r="G65">
        <v>25</v>
      </c>
      <c r="H65">
        <v>26</v>
      </c>
      <c r="I65">
        <v>24</v>
      </c>
      <c r="J65">
        <v>12</v>
      </c>
      <c r="K65">
        <v>10</v>
      </c>
      <c r="L65" t="s">
        <v>42</v>
      </c>
      <c r="M65" t="s">
        <v>26</v>
      </c>
      <c r="N65">
        <f>SUM(Table6[[#This Row],[15 ~ 19]:[&gt;= 60]])</f>
        <v>213</v>
      </c>
    </row>
    <row r="66" spans="1:14" x14ac:dyDescent="0.3">
      <c r="A66" t="s">
        <v>10</v>
      </c>
      <c r="B66">
        <v>0</v>
      </c>
      <c r="C66">
        <v>11</v>
      </c>
      <c r="D66">
        <v>42</v>
      </c>
      <c r="E66">
        <v>58</v>
      </c>
      <c r="F66">
        <v>26</v>
      </c>
      <c r="G66">
        <v>39</v>
      </c>
      <c r="H66">
        <v>30</v>
      </c>
      <c r="I66">
        <v>16</v>
      </c>
      <c r="J66">
        <v>13</v>
      </c>
      <c r="K66">
        <v>8</v>
      </c>
      <c r="L66" s="1">
        <v>42789</v>
      </c>
      <c r="M66" t="s">
        <v>2</v>
      </c>
      <c r="N66">
        <f>SUM(Table6[[#This Row],[15 ~ 19]:[&gt;= 60]])</f>
        <v>243</v>
      </c>
    </row>
    <row r="67" spans="1:14" x14ac:dyDescent="0.3">
      <c r="A67" t="s">
        <v>10</v>
      </c>
      <c r="B67">
        <v>0</v>
      </c>
      <c r="C67">
        <v>8</v>
      </c>
      <c r="D67">
        <v>43</v>
      </c>
      <c r="E67">
        <v>24</v>
      </c>
      <c r="F67">
        <v>14</v>
      </c>
      <c r="G67">
        <v>17</v>
      </c>
      <c r="H67">
        <v>17</v>
      </c>
      <c r="I67">
        <v>6</v>
      </c>
      <c r="J67">
        <v>6</v>
      </c>
      <c r="K67">
        <v>4</v>
      </c>
      <c r="L67" s="1">
        <v>42924</v>
      </c>
      <c r="M67" t="s">
        <v>24</v>
      </c>
      <c r="N67">
        <f>SUM(Table6[[#This Row],[15 ~ 19]:[&gt;= 60]])</f>
        <v>139</v>
      </c>
    </row>
    <row r="68" spans="1:14" x14ac:dyDescent="0.3">
      <c r="A68" t="s">
        <v>10</v>
      </c>
      <c r="B68">
        <v>0</v>
      </c>
      <c r="C68">
        <v>2</v>
      </c>
      <c r="D68">
        <v>19</v>
      </c>
      <c r="E68">
        <v>19</v>
      </c>
      <c r="F68">
        <v>26</v>
      </c>
      <c r="G68">
        <v>20</v>
      </c>
      <c r="H68">
        <v>14</v>
      </c>
      <c r="I68">
        <v>8</v>
      </c>
      <c r="J68">
        <v>5</v>
      </c>
      <c r="K68">
        <v>12</v>
      </c>
      <c r="L68" s="1">
        <v>42970</v>
      </c>
      <c r="M68" t="s">
        <v>25</v>
      </c>
      <c r="N68">
        <f>SUM(Table6[[#This Row],[15 ~ 19]:[&gt;= 60]])</f>
        <v>125</v>
      </c>
    </row>
    <row r="69" spans="1:14" x14ac:dyDescent="0.3">
      <c r="A69" t="s">
        <v>10</v>
      </c>
      <c r="B69">
        <v>0</v>
      </c>
      <c r="C69">
        <v>3</v>
      </c>
      <c r="D69">
        <v>22</v>
      </c>
      <c r="E69">
        <v>28</v>
      </c>
      <c r="F69">
        <v>20</v>
      </c>
      <c r="G69">
        <v>16</v>
      </c>
      <c r="H69">
        <v>11</v>
      </c>
      <c r="I69">
        <v>7</v>
      </c>
      <c r="J69">
        <v>7</v>
      </c>
      <c r="K69">
        <v>4</v>
      </c>
      <c r="L69" s="1">
        <v>42970</v>
      </c>
      <c r="M69" t="s">
        <v>26</v>
      </c>
      <c r="N69">
        <f>SUM(Table6[[#This Row],[15 ~ 19]:[&gt;= 60]])</f>
        <v>118</v>
      </c>
    </row>
    <row r="70" spans="1:14" x14ac:dyDescent="0.3">
      <c r="A70" t="s">
        <v>10</v>
      </c>
      <c r="B70">
        <v>0</v>
      </c>
      <c r="C70">
        <v>7</v>
      </c>
      <c r="D70">
        <v>20</v>
      </c>
      <c r="E70">
        <v>36</v>
      </c>
      <c r="F70">
        <v>16</v>
      </c>
      <c r="G70">
        <v>14</v>
      </c>
      <c r="H70">
        <v>10</v>
      </c>
      <c r="I70">
        <v>8</v>
      </c>
      <c r="J70">
        <v>11</v>
      </c>
      <c r="K70">
        <v>13</v>
      </c>
      <c r="L70" s="1">
        <v>43144</v>
      </c>
      <c r="M70" t="s">
        <v>2</v>
      </c>
      <c r="N70">
        <f>SUM(Table6[[#This Row],[15 ~ 19]:[&gt;= 60]])</f>
        <v>135</v>
      </c>
    </row>
    <row r="71" spans="1:14" x14ac:dyDescent="0.3">
      <c r="A71" t="s">
        <v>10</v>
      </c>
      <c r="B71">
        <v>0</v>
      </c>
      <c r="C71">
        <v>10</v>
      </c>
      <c r="D71">
        <v>26</v>
      </c>
      <c r="E71">
        <v>29</v>
      </c>
      <c r="F71">
        <v>20</v>
      </c>
      <c r="G71">
        <v>17</v>
      </c>
      <c r="H71">
        <v>8</v>
      </c>
      <c r="I71">
        <v>9</v>
      </c>
      <c r="J71">
        <v>6</v>
      </c>
      <c r="K71">
        <v>1</v>
      </c>
      <c r="L71" s="1">
        <v>43233</v>
      </c>
      <c r="M71" t="s">
        <v>24</v>
      </c>
      <c r="N71">
        <f>SUM(Table6[[#This Row],[15 ~ 19]:[&gt;= 60]])</f>
        <v>126</v>
      </c>
    </row>
    <row r="72" spans="1:14" x14ac:dyDescent="0.3">
      <c r="A72" t="s">
        <v>10</v>
      </c>
      <c r="B72">
        <v>0</v>
      </c>
      <c r="C72">
        <v>7</v>
      </c>
      <c r="D72">
        <v>24</v>
      </c>
      <c r="E72">
        <v>25</v>
      </c>
      <c r="F72">
        <v>18</v>
      </c>
      <c r="G72">
        <v>16</v>
      </c>
      <c r="H72">
        <v>13</v>
      </c>
      <c r="I72">
        <v>6</v>
      </c>
      <c r="J72">
        <v>3</v>
      </c>
      <c r="K72">
        <v>7</v>
      </c>
      <c r="L72" s="1">
        <v>43233</v>
      </c>
      <c r="M72" t="s">
        <v>24</v>
      </c>
      <c r="N72">
        <f>SUM(Table6[[#This Row],[15 ~ 19]:[&gt;= 60]])</f>
        <v>119</v>
      </c>
    </row>
    <row r="73" spans="1:14" x14ac:dyDescent="0.3">
      <c r="A73" t="s">
        <v>10</v>
      </c>
      <c r="B73">
        <v>0</v>
      </c>
      <c r="C73">
        <v>6</v>
      </c>
      <c r="D73">
        <v>28</v>
      </c>
      <c r="E73">
        <v>21</v>
      </c>
      <c r="F73">
        <v>22</v>
      </c>
      <c r="G73">
        <v>23</v>
      </c>
      <c r="H73">
        <v>14</v>
      </c>
      <c r="I73">
        <v>14</v>
      </c>
      <c r="J73">
        <v>7</v>
      </c>
      <c r="K73">
        <v>6</v>
      </c>
      <c r="L73" s="1">
        <v>43233</v>
      </c>
      <c r="M73" t="s">
        <v>24</v>
      </c>
      <c r="N73">
        <f>SUM(Table6[[#This Row],[15 ~ 19]:[&gt;= 60]])</f>
        <v>141</v>
      </c>
    </row>
    <row r="74" spans="1:14" x14ac:dyDescent="0.3">
      <c r="A74" t="s">
        <v>18</v>
      </c>
      <c r="B74">
        <v>1</v>
      </c>
      <c r="C74">
        <v>47</v>
      </c>
      <c r="D74">
        <v>149</v>
      </c>
      <c r="E74">
        <v>169</v>
      </c>
      <c r="F74">
        <v>117</v>
      </c>
      <c r="G74">
        <v>88</v>
      </c>
      <c r="H74">
        <v>77</v>
      </c>
      <c r="I74">
        <v>47</v>
      </c>
      <c r="J74">
        <v>23</v>
      </c>
      <c r="K74">
        <v>17</v>
      </c>
      <c r="L74" s="1">
        <v>42405</v>
      </c>
      <c r="M74" t="s">
        <v>2</v>
      </c>
      <c r="N74">
        <f>SUM(Table6[[#This Row],[15 ~ 19]:[&gt;= 60]])</f>
        <v>735</v>
      </c>
    </row>
    <row r="75" spans="1:14" x14ac:dyDescent="0.3">
      <c r="A75" t="s">
        <v>18</v>
      </c>
      <c r="B75">
        <v>0</v>
      </c>
      <c r="C75">
        <v>62</v>
      </c>
      <c r="D75">
        <v>175</v>
      </c>
      <c r="E75">
        <v>158</v>
      </c>
      <c r="F75">
        <v>125</v>
      </c>
      <c r="G75">
        <v>100</v>
      </c>
      <c r="H75">
        <v>82</v>
      </c>
      <c r="I75">
        <v>35</v>
      </c>
      <c r="J75">
        <v>28</v>
      </c>
      <c r="K75">
        <v>12</v>
      </c>
      <c r="L75" s="1">
        <v>42434</v>
      </c>
      <c r="M75" t="s">
        <v>24</v>
      </c>
      <c r="N75">
        <f>SUM(Table6[[#This Row],[15 ~ 19]:[&gt;= 60]])</f>
        <v>777</v>
      </c>
    </row>
    <row r="76" spans="1:14" x14ac:dyDescent="0.3">
      <c r="A76" t="s">
        <v>18</v>
      </c>
      <c r="B76">
        <v>0</v>
      </c>
      <c r="C76">
        <v>58</v>
      </c>
      <c r="D76">
        <v>142</v>
      </c>
      <c r="E76">
        <v>129</v>
      </c>
      <c r="F76">
        <v>85</v>
      </c>
      <c r="G76">
        <v>63</v>
      </c>
      <c r="H76">
        <v>61</v>
      </c>
      <c r="I76">
        <v>31</v>
      </c>
      <c r="J76">
        <v>22</v>
      </c>
      <c r="K76">
        <v>24</v>
      </c>
      <c r="L76" s="1">
        <v>42558</v>
      </c>
      <c r="M76" t="s">
        <v>25</v>
      </c>
      <c r="N76">
        <f>SUM(Table6[[#This Row],[15 ~ 19]:[&gt;= 60]])</f>
        <v>615</v>
      </c>
    </row>
    <row r="77" spans="1:14" x14ac:dyDescent="0.3">
      <c r="A77" t="s">
        <v>18</v>
      </c>
      <c r="B77">
        <v>0</v>
      </c>
      <c r="C77">
        <v>40</v>
      </c>
      <c r="D77">
        <v>137</v>
      </c>
      <c r="E77">
        <v>163</v>
      </c>
      <c r="F77">
        <v>108</v>
      </c>
      <c r="G77">
        <v>87</v>
      </c>
      <c r="H77">
        <v>72</v>
      </c>
      <c r="I77">
        <v>34</v>
      </c>
      <c r="J77">
        <v>20</v>
      </c>
      <c r="K77">
        <v>18</v>
      </c>
      <c r="L77" t="s">
        <v>42</v>
      </c>
      <c r="M77" t="s">
        <v>26</v>
      </c>
      <c r="N77">
        <f>SUM(Table6[[#This Row],[15 ~ 19]:[&gt;= 60]])</f>
        <v>679</v>
      </c>
    </row>
    <row r="78" spans="1:14" x14ac:dyDescent="0.3">
      <c r="A78" t="s">
        <v>18</v>
      </c>
      <c r="B78">
        <v>0</v>
      </c>
      <c r="C78">
        <v>40</v>
      </c>
      <c r="D78">
        <v>145</v>
      </c>
      <c r="E78">
        <v>142</v>
      </c>
      <c r="F78">
        <v>108</v>
      </c>
      <c r="G78">
        <v>83</v>
      </c>
      <c r="H78">
        <v>56</v>
      </c>
      <c r="I78">
        <v>40</v>
      </c>
      <c r="J78">
        <v>30</v>
      </c>
      <c r="K78">
        <v>15</v>
      </c>
      <c r="L78" s="1">
        <v>42797</v>
      </c>
      <c r="M78" t="s">
        <v>2</v>
      </c>
      <c r="N78">
        <f>SUM(Table6[[#This Row],[15 ~ 19]:[&gt;= 60]])</f>
        <v>659</v>
      </c>
    </row>
    <row r="79" spans="1:14" x14ac:dyDescent="0.3">
      <c r="A79" t="s">
        <v>18</v>
      </c>
      <c r="B79">
        <v>0</v>
      </c>
      <c r="C79">
        <v>29</v>
      </c>
      <c r="D79">
        <v>104</v>
      </c>
      <c r="E79">
        <v>83</v>
      </c>
      <c r="F79">
        <v>78</v>
      </c>
      <c r="G79">
        <v>51</v>
      </c>
      <c r="H79">
        <v>32</v>
      </c>
      <c r="I79">
        <v>28</v>
      </c>
      <c r="J79">
        <v>7</v>
      </c>
      <c r="K79">
        <v>14</v>
      </c>
      <c r="L79" s="1">
        <v>42924</v>
      </c>
      <c r="M79" t="s">
        <v>24</v>
      </c>
      <c r="N79">
        <f>SUM(Table6[[#This Row],[15 ~ 19]:[&gt;= 60]])</f>
        <v>426</v>
      </c>
    </row>
    <row r="80" spans="1:14" x14ac:dyDescent="0.3">
      <c r="A80" t="s">
        <v>18</v>
      </c>
      <c r="B80">
        <v>0</v>
      </c>
      <c r="C80">
        <v>18</v>
      </c>
      <c r="D80">
        <v>87</v>
      </c>
      <c r="E80">
        <v>73</v>
      </c>
      <c r="F80">
        <v>71</v>
      </c>
      <c r="G80">
        <v>43</v>
      </c>
      <c r="H80">
        <v>25</v>
      </c>
      <c r="I80">
        <v>19</v>
      </c>
      <c r="J80">
        <v>14</v>
      </c>
      <c r="K80">
        <v>10</v>
      </c>
      <c r="L80" s="1">
        <v>42977</v>
      </c>
      <c r="M80" t="s">
        <v>25</v>
      </c>
      <c r="N80">
        <f>SUM(Table6[[#This Row],[15 ~ 19]:[&gt;= 60]])</f>
        <v>360</v>
      </c>
    </row>
    <row r="81" spans="1:14" x14ac:dyDescent="0.3">
      <c r="A81" t="s">
        <v>18</v>
      </c>
      <c r="B81">
        <v>0</v>
      </c>
      <c r="C81">
        <v>13</v>
      </c>
      <c r="D81">
        <v>85</v>
      </c>
      <c r="E81">
        <v>117</v>
      </c>
      <c r="F81">
        <v>96</v>
      </c>
      <c r="G81">
        <v>64</v>
      </c>
      <c r="H81">
        <v>58</v>
      </c>
      <c r="I81">
        <v>21</v>
      </c>
      <c r="J81">
        <v>19</v>
      </c>
      <c r="K81">
        <v>13</v>
      </c>
      <c r="L81" s="1">
        <v>42978</v>
      </c>
      <c r="M81" t="s">
        <v>26</v>
      </c>
      <c r="N81">
        <f>SUM(Table6[[#This Row],[15 ~ 19]:[&gt;= 60]])</f>
        <v>486</v>
      </c>
    </row>
    <row r="82" spans="1:14" x14ac:dyDescent="0.3">
      <c r="A82" t="s">
        <v>18</v>
      </c>
      <c r="B82">
        <v>0</v>
      </c>
      <c r="C82">
        <v>17</v>
      </c>
      <c r="D82">
        <v>72</v>
      </c>
      <c r="E82">
        <v>80</v>
      </c>
      <c r="F82">
        <v>66</v>
      </c>
      <c r="G82">
        <v>46</v>
      </c>
      <c r="H82">
        <v>34</v>
      </c>
      <c r="I82">
        <v>26</v>
      </c>
      <c r="J82">
        <v>15</v>
      </c>
      <c r="K82">
        <v>14</v>
      </c>
      <c r="L82" s="1">
        <v>43152</v>
      </c>
      <c r="M82" t="s">
        <v>2</v>
      </c>
      <c r="N82">
        <f>SUM(Table6[[#This Row],[15 ~ 19]:[&gt;= 60]])</f>
        <v>370</v>
      </c>
    </row>
    <row r="83" spans="1:14" x14ac:dyDescent="0.3">
      <c r="A83" t="s">
        <v>18</v>
      </c>
      <c r="B83">
        <v>1</v>
      </c>
      <c r="C83">
        <v>13</v>
      </c>
      <c r="D83">
        <v>68</v>
      </c>
      <c r="E83">
        <v>71</v>
      </c>
      <c r="F83">
        <v>53</v>
      </c>
      <c r="G83">
        <v>32</v>
      </c>
      <c r="H83">
        <v>26</v>
      </c>
      <c r="I83">
        <v>21</v>
      </c>
      <c r="J83">
        <v>6</v>
      </c>
      <c r="K83">
        <v>8</v>
      </c>
      <c r="L83" s="1">
        <v>43241</v>
      </c>
      <c r="M83" t="s">
        <v>24</v>
      </c>
      <c r="N83">
        <f>SUM(Table6[[#This Row],[15 ~ 19]:[&gt;= 60]])</f>
        <v>299</v>
      </c>
    </row>
    <row r="84" spans="1:14" x14ac:dyDescent="0.3">
      <c r="A84" t="s">
        <v>18</v>
      </c>
      <c r="B84">
        <v>0</v>
      </c>
      <c r="C84">
        <v>21</v>
      </c>
      <c r="D84">
        <v>83</v>
      </c>
      <c r="E84">
        <v>72</v>
      </c>
      <c r="F84">
        <v>59</v>
      </c>
      <c r="G84">
        <v>38</v>
      </c>
      <c r="H84">
        <v>30</v>
      </c>
      <c r="I84">
        <v>14</v>
      </c>
      <c r="J84">
        <v>10</v>
      </c>
      <c r="K84">
        <v>11</v>
      </c>
      <c r="L84" s="1">
        <v>43241</v>
      </c>
      <c r="M84" t="s">
        <v>24</v>
      </c>
      <c r="N84">
        <f>SUM(Table6[[#This Row],[15 ~ 19]:[&gt;= 60]])</f>
        <v>338</v>
      </c>
    </row>
    <row r="85" spans="1:14" x14ac:dyDescent="0.3">
      <c r="A85" t="s">
        <v>18</v>
      </c>
      <c r="B85">
        <v>0</v>
      </c>
      <c r="C85">
        <v>15</v>
      </c>
      <c r="D85">
        <v>59</v>
      </c>
      <c r="E85">
        <v>72</v>
      </c>
      <c r="F85">
        <v>58</v>
      </c>
      <c r="G85">
        <v>43</v>
      </c>
      <c r="H85">
        <v>40</v>
      </c>
      <c r="I85">
        <v>29</v>
      </c>
      <c r="J85">
        <v>15</v>
      </c>
      <c r="K85">
        <v>9</v>
      </c>
      <c r="L85" s="1">
        <v>43241</v>
      </c>
      <c r="M85" t="s">
        <v>24</v>
      </c>
      <c r="N85">
        <f>SUM(Table6[[#This Row],[15 ~ 19]:[&gt;= 60]])</f>
        <v>340</v>
      </c>
    </row>
    <row r="86" spans="1:14" x14ac:dyDescent="0.3">
      <c r="A86" t="s">
        <v>22</v>
      </c>
      <c r="B86">
        <v>0</v>
      </c>
      <c r="C86">
        <v>1</v>
      </c>
      <c r="D86">
        <v>3</v>
      </c>
      <c r="E86">
        <v>3</v>
      </c>
      <c r="F86">
        <v>2</v>
      </c>
      <c r="G86">
        <v>0</v>
      </c>
      <c r="H86">
        <v>2</v>
      </c>
      <c r="I86">
        <v>1</v>
      </c>
      <c r="J86">
        <v>0</v>
      </c>
      <c r="K86">
        <v>1</v>
      </c>
      <c r="L86" s="1">
        <v>42405</v>
      </c>
      <c r="M86" t="s">
        <v>2</v>
      </c>
      <c r="N86">
        <f>SUM(Table6[[#This Row],[15 ~ 19]:[&gt;= 60]])</f>
        <v>13</v>
      </c>
    </row>
    <row r="87" spans="1:14" x14ac:dyDescent="0.3">
      <c r="A87" t="s">
        <v>22</v>
      </c>
      <c r="B87">
        <v>0</v>
      </c>
      <c r="C87">
        <v>2</v>
      </c>
      <c r="D87">
        <v>1</v>
      </c>
      <c r="E87">
        <v>1</v>
      </c>
      <c r="F87">
        <v>4</v>
      </c>
      <c r="G87">
        <v>2</v>
      </c>
      <c r="H87">
        <v>0</v>
      </c>
      <c r="I87">
        <v>2</v>
      </c>
      <c r="J87">
        <v>0</v>
      </c>
      <c r="K87">
        <v>1</v>
      </c>
      <c r="L87" s="1">
        <v>42434</v>
      </c>
      <c r="M87" t="s">
        <v>24</v>
      </c>
      <c r="N87">
        <f>SUM(Table6[[#This Row],[15 ~ 19]:[&gt;= 60]])</f>
        <v>13</v>
      </c>
    </row>
    <row r="88" spans="1:14" x14ac:dyDescent="0.3">
      <c r="A88" t="s">
        <v>22</v>
      </c>
      <c r="B88">
        <v>0</v>
      </c>
      <c r="C88">
        <v>0</v>
      </c>
      <c r="D88">
        <v>4</v>
      </c>
      <c r="E88">
        <v>2</v>
      </c>
      <c r="F88">
        <v>1</v>
      </c>
      <c r="G88">
        <v>1</v>
      </c>
      <c r="H88">
        <v>1</v>
      </c>
      <c r="I88">
        <v>0</v>
      </c>
      <c r="J88">
        <v>1</v>
      </c>
      <c r="K88">
        <v>0</v>
      </c>
      <c r="L88" s="1">
        <v>42558</v>
      </c>
      <c r="M88" t="s">
        <v>25</v>
      </c>
      <c r="N88">
        <f>SUM(Table6[[#This Row],[15 ~ 19]:[&gt;= 60]])</f>
        <v>10</v>
      </c>
    </row>
    <row r="89" spans="1:14" x14ac:dyDescent="0.3">
      <c r="A89" t="s">
        <v>22</v>
      </c>
      <c r="B89">
        <v>0</v>
      </c>
      <c r="C89">
        <v>2</v>
      </c>
      <c r="D89">
        <v>2</v>
      </c>
      <c r="E89">
        <v>1</v>
      </c>
      <c r="F89">
        <v>2</v>
      </c>
      <c r="G89">
        <v>0</v>
      </c>
      <c r="H89">
        <v>4</v>
      </c>
      <c r="I89">
        <v>2</v>
      </c>
      <c r="J89">
        <v>1</v>
      </c>
      <c r="K89">
        <v>0</v>
      </c>
      <c r="L89" t="s">
        <v>42</v>
      </c>
      <c r="M89" t="s">
        <v>26</v>
      </c>
      <c r="N89">
        <f>SUM(Table6[[#This Row],[15 ~ 19]:[&gt;= 60]])</f>
        <v>14</v>
      </c>
    </row>
    <row r="90" spans="1:14" x14ac:dyDescent="0.3">
      <c r="A90" t="s">
        <v>22</v>
      </c>
      <c r="B90">
        <v>0</v>
      </c>
      <c r="C90">
        <v>1</v>
      </c>
      <c r="D90">
        <v>3</v>
      </c>
      <c r="E90">
        <v>3</v>
      </c>
      <c r="F90">
        <v>3</v>
      </c>
      <c r="G90">
        <v>0</v>
      </c>
      <c r="H90">
        <v>1</v>
      </c>
      <c r="I90">
        <v>1</v>
      </c>
      <c r="J90">
        <v>1</v>
      </c>
      <c r="K90">
        <v>0</v>
      </c>
      <c r="L90" s="1">
        <v>42801</v>
      </c>
      <c r="M90" t="s">
        <v>2</v>
      </c>
      <c r="N90">
        <f>SUM(Table6[[#This Row],[15 ~ 19]:[&gt;= 60]])</f>
        <v>13</v>
      </c>
    </row>
    <row r="91" spans="1:14" x14ac:dyDescent="0.3">
      <c r="A91" t="s">
        <v>22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 s="1">
        <v>42924</v>
      </c>
      <c r="M91" t="s">
        <v>24</v>
      </c>
      <c r="N91">
        <f>SUM(Table6[[#This Row],[15 ~ 19]:[&gt;= 60]])</f>
        <v>3</v>
      </c>
    </row>
    <row r="92" spans="1:14" x14ac:dyDescent="0.3">
      <c r="A92" t="s">
        <v>22</v>
      </c>
      <c r="B92">
        <v>0</v>
      </c>
      <c r="C92">
        <v>0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 s="1">
        <v>42981</v>
      </c>
      <c r="M92" t="s">
        <v>25</v>
      </c>
      <c r="N92">
        <f>SUM(Table6[[#This Row],[15 ~ 19]:[&gt;= 60]])</f>
        <v>3</v>
      </c>
    </row>
    <row r="93" spans="1:14" x14ac:dyDescent="0.3">
      <c r="A93" t="s">
        <v>22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 s="1">
        <v>42982</v>
      </c>
      <c r="M93" t="s">
        <v>26</v>
      </c>
      <c r="N93">
        <f>SUM(Table6[[#This Row],[15 ~ 19]:[&gt;= 60]])</f>
        <v>4</v>
      </c>
    </row>
    <row r="94" spans="1:14" x14ac:dyDescent="0.3">
      <c r="A94" t="s">
        <v>22</v>
      </c>
      <c r="B94">
        <v>0</v>
      </c>
      <c r="C94">
        <v>1</v>
      </c>
      <c r="D94">
        <v>2</v>
      </c>
      <c r="E94">
        <v>2</v>
      </c>
      <c r="F94">
        <v>1</v>
      </c>
      <c r="G94">
        <v>2</v>
      </c>
      <c r="H94">
        <v>1</v>
      </c>
      <c r="I94">
        <v>2</v>
      </c>
      <c r="J94">
        <v>1</v>
      </c>
      <c r="K94">
        <v>0</v>
      </c>
      <c r="L94" s="1">
        <v>43156</v>
      </c>
      <c r="M94" t="s">
        <v>2</v>
      </c>
      <c r="N94">
        <f>SUM(Table6[[#This Row],[15 ~ 19]:[&gt;= 60]])</f>
        <v>12</v>
      </c>
    </row>
    <row r="95" spans="1:14" x14ac:dyDescent="0.3">
      <c r="A95" t="s">
        <v>22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3</v>
      </c>
      <c r="I95">
        <v>0</v>
      </c>
      <c r="J95">
        <v>0</v>
      </c>
      <c r="K95">
        <v>0</v>
      </c>
      <c r="L95" s="1">
        <v>43245</v>
      </c>
      <c r="M95" t="s">
        <v>24</v>
      </c>
      <c r="N95">
        <f>SUM(Table6[[#This Row],[15 ~ 19]:[&gt;= 60]])</f>
        <v>4</v>
      </c>
    </row>
    <row r="96" spans="1:14" x14ac:dyDescent="0.3">
      <c r="A96" t="s">
        <v>22</v>
      </c>
      <c r="B96">
        <v>0</v>
      </c>
      <c r="C96">
        <v>0</v>
      </c>
      <c r="D96">
        <v>0</v>
      </c>
      <c r="E96">
        <v>6</v>
      </c>
      <c r="F96">
        <v>2</v>
      </c>
      <c r="G96">
        <v>3</v>
      </c>
      <c r="H96">
        <v>2</v>
      </c>
      <c r="I96">
        <v>1</v>
      </c>
      <c r="J96">
        <v>0</v>
      </c>
      <c r="K96">
        <v>0</v>
      </c>
      <c r="L96" s="1">
        <v>43245</v>
      </c>
      <c r="M96" t="s">
        <v>24</v>
      </c>
      <c r="N96">
        <f>SUM(Table6[[#This Row],[15 ~ 19]:[&gt;= 60]])</f>
        <v>14</v>
      </c>
    </row>
    <row r="97" spans="1:14" x14ac:dyDescent="0.3">
      <c r="A97" t="s">
        <v>22</v>
      </c>
      <c r="B97">
        <v>0</v>
      </c>
      <c r="C97">
        <v>0</v>
      </c>
      <c r="D97">
        <v>3</v>
      </c>
      <c r="E97">
        <v>4</v>
      </c>
      <c r="F97">
        <v>5</v>
      </c>
      <c r="G97">
        <v>3</v>
      </c>
      <c r="H97">
        <v>5</v>
      </c>
      <c r="I97">
        <v>0</v>
      </c>
      <c r="J97">
        <v>0</v>
      </c>
      <c r="K97">
        <v>2</v>
      </c>
      <c r="L97" s="1">
        <v>43245</v>
      </c>
      <c r="M97" t="s">
        <v>24</v>
      </c>
      <c r="N97">
        <f>SUM(Table6[[#This Row],[15 ~ 19]:[&gt;= 60]])</f>
        <v>22</v>
      </c>
    </row>
    <row r="98" spans="1:14" x14ac:dyDescent="0.3">
      <c r="A98" t="s">
        <v>23</v>
      </c>
      <c r="B98">
        <v>0</v>
      </c>
      <c r="C98">
        <v>0</v>
      </c>
      <c r="D98">
        <v>1</v>
      </c>
      <c r="E98">
        <v>1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 s="1">
        <v>42405</v>
      </c>
      <c r="M98" t="s">
        <v>2</v>
      </c>
      <c r="N98">
        <f>SUM(Table6[[#This Row],[15 ~ 19]:[&gt;= 60]])</f>
        <v>4</v>
      </c>
    </row>
    <row r="99" spans="1:14" x14ac:dyDescent="0.3">
      <c r="A99" t="s">
        <v>23</v>
      </c>
      <c r="B99">
        <v>0</v>
      </c>
      <c r="C99">
        <v>1</v>
      </c>
      <c r="D99">
        <v>1</v>
      </c>
      <c r="E99">
        <v>2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42434</v>
      </c>
      <c r="M99" t="s">
        <v>24</v>
      </c>
      <c r="N99">
        <f>SUM(Table6[[#This Row],[15 ~ 19]:[&gt;= 60]])</f>
        <v>5</v>
      </c>
    </row>
    <row r="100" spans="1:14" x14ac:dyDescent="0.3">
      <c r="A100" t="s">
        <v>23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 s="1">
        <v>42558</v>
      </c>
      <c r="M100" t="s">
        <v>25</v>
      </c>
      <c r="N100">
        <f>SUM(Table6[[#This Row],[15 ~ 19]:[&gt;= 60]])</f>
        <v>3</v>
      </c>
    </row>
    <row r="101" spans="1:14" x14ac:dyDescent="0.3">
      <c r="A101" t="s">
        <v>23</v>
      </c>
      <c r="B101">
        <v>0</v>
      </c>
      <c r="C101">
        <v>1</v>
      </c>
      <c r="D101">
        <v>1</v>
      </c>
      <c r="E101">
        <v>2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 t="s">
        <v>42</v>
      </c>
      <c r="M101" t="s">
        <v>26</v>
      </c>
      <c r="N101">
        <f>SUM(Table6[[#This Row],[15 ~ 19]:[&gt;= 60]])</f>
        <v>5</v>
      </c>
    </row>
    <row r="102" spans="1:14" x14ac:dyDescent="0.3">
      <c r="A102" t="s">
        <v>23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1</v>
      </c>
      <c r="L102" s="1">
        <v>42924</v>
      </c>
      <c r="M102" t="s">
        <v>24</v>
      </c>
      <c r="N102">
        <f>SUM(Table6[[#This Row],[15 ~ 19]:[&gt;= 60]])</f>
        <v>3</v>
      </c>
    </row>
    <row r="103" spans="1:14" x14ac:dyDescent="0.3">
      <c r="A103" t="s">
        <v>23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 s="1">
        <v>42982</v>
      </c>
      <c r="M103" t="s">
        <v>25</v>
      </c>
      <c r="N103">
        <f>SUM(Table6[[#This Row],[15 ~ 19]:[&gt;= 60]])</f>
        <v>1</v>
      </c>
    </row>
    <row r="104" spans="1:14" x14ac:dyDescent="0.3">
      <c r="A104" t="s">
        <v>23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43157</v>
      </c>
      <c r="M104" t="s">
        <v>2</v>
      </c>
      <c r="N104">
        <f>SUM(Table6[[#This Row],[15 ~ 19]:[&gt;= 60]])</f>
        <v>1</v>
      </c>
    </row>
    <row r="105" spans="1:14" x14ac:dyDescent="0.3">
      <c r="A105" t="s">
        <v>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 s="1">
        <v>43246</v>
      </c>
      <c r="M105" t="s">
        <v>24</v>
      </c>
      <c r="N105">
        <f>SUM(Table6[[#This Row],[15 ~ 19]:[&gt;= 60]])</f>
        <v>1</v>
      </c>
    </row>
    <row r="106" spans="1:14" x14ac:dyDescent="0.3">
      <c r="A106" t="s">
        <v>12</v>
      </c>
      <c r="B106">
        <v>5</v>
      </c>
      <c r="C106">
        <v>217</v>
      </c>
      <c r="D106">
        <v>565</v>
      </c>
      <c r="E106">
        <v>547</v>
      </c>
      <c r="F106">
        <v>398</v>
      </c>
      <c r="G106">
        <v>314</v>
      </c>
      <c r="H106">
        <v>256</v>
      </c>
      <c r="I106">
        <v>161</v>
      </c>
      <c r="J106">
        <v>93</v>
      </c>
      <c r="K106">
        <v>68</v>
      </c>
      <c r="L106" s="1">
        <v>42405</v>
      </c>
      <c r="M106" t="s">
        <v>2</v>
      </c>
      <c r="N106">
        <f>SUM(Table6[[#This Row],[15 ~ 19]:[&gt;= 60]])</f>
        <v>2624</v>
      </c>
    </row>
    <row r="107" spans="1:14" x14ac:dyDescent="0.3">
      <c r="A107" t="s">
        <v>12</v>
      </c>
      <c r="B107">
        <v>5</v>
      </c>
      <c r="C107">
        <v>198</v>
      </c>
      <c r="D107">
        <v>542</v>
      </c>
      <c r="E107">
        <v>475</v>
      </c>
      <c r="F107">
        <v>433</v>
      </c>
      <c r="G107">
        <v>305</v>
      </c>
      <c r="H107">
        <v>235</v>
      </c>
      <c r="I107">
        <v>154</v>
      </c>
      <c r="J107">
        <v>86</v>
      </c>
      <c r="K107">
        <v>48</v>
      </c>
      <c r="L107" s="1">
        <v>42434</v>
      </c>
      <c r="M107" t="s">
        <v>24</v>
      </c>
      <c r="N107">
        <f>SUM(Table6[[#This Row],[15 ~ 19]:[&gt;= 60]])</f>
        <v>2481</v>
      </c>
    </row>
    <row r="108" spans="1:14" x14ac:dyDescent="0.3">
      <c r="A108" t="s">
        <v>12</v>
      </c>
      <c r="B108">
        <v>4</v>
      </c>
      <c r="C108">
        <v>192</v>
      </c>
      <c r="D108">
        <v>464</v>
      </c>
      <c r="E108">
        <v>427</v>
      </c>
      <c r="F108">
        <v>380</v>
      </c>
      <c r="G108">
        <v>273</v>
      </c>
      <c r="H108">
        <v>209</v>
      </c>
      <c r="I108">
        <v>134</v>
      </c>
      <c r="J108">
        <v>63</v>
      </c>
      <c r="K108">
        <v>57</v>
      </c>
      <c r="L108" s="1">
        <v>42558</v>
      </c>
      <c r="M108" t="s">
        <v>25</v>
      </c>
      <c r="N108">
        <f>SUM(Table6[[#This Row],[15 ~ 19]:[&gt;= 60]])</f>
        <v>2203</v>
      </c>
    </row>
    <row r="109" spans="1:14" x14ac:dyDescent="0.3">
      <c r="A109" t="s">
        <v>12</v>
      </c>
      <c r="B109">
        <v>9</v>
      </c>
      <c r="C109">
        <v>190</v>
      </c>
      <c r="D109">
        <v>531</v>
      </c>
      <c r="E109">
        <v>488</v>
      </c>
      <c r="F109">
        <v>432</v>
      </c>
      <c r="G109">
        <v>311</v>
      </c>
      <c r="H109">
        <v>215</v>
      </c>
      <c r="I109">
        <v>135</v>
      </c>
      <c r="J109">
        <v>83</v>
      </c>
      <c r="K109">
        <v>52</v>
      </c>
      <c r="L109" t="s">
        <v>42</v>
      </c>
      <c r="M109" t="s">
        <v>26</v>
      </c>
      <c r="N109">
        <f>SUM(Table6[[#This Row],[15 ~ 19]:[&gt;= 60]])</f>
        <v>2446</v>
      </c>
    </row>
    <row r="110" spans="1:14" x14ac:dyDescent="0.3">
      <c r="A110" t="s">
        <v>12</v>
      </c>
      <c r="B110">
        <v>10</v>
      </c>
      <c r="C110">
        <v>169</v>
      </c>
      <c r="D110">
        <v>496</v>
      </c>
      <c r="E110">
        <v>489</v>
      </c>
      <c r="F110">
        <v>447</v>
      </c>
      <c r="G110">
        <v>291</v>
      </c>
      <c r="H110">
        <v>243</v>
      </c>
      <c r="I110">
        <v>156</v>
      </c>
      <c r="J110">
        <v>87</v>
      </c>
      <c r="K110">
        <v>48</v>
      </c>
      <c r="L110" s="1">
        <v>42791</v>
      </c>
      <c r="M110" t="s">
        <v>2</v>
      </c>
      <c r="N110">
        <f>SUM(Table6[[#This Row],[15 ~ 19]:[&gt;= 60]])</f>
        <v>2436</v>
      </c>
    </row>
    <row r="111" spans="1:14" x14ac:dyDescent="0.3">
      <c r="A111" t="s">
        <v>12</v>
      </c>
      <c r="B111">
        <v>3</v>
      </c>
      <c r="C111">
        <v>142</v>
      </c>
      <c r="D111">
        <v>357</v>
      </c>
      <c r="E111">
        <v>382</v>
      </c>
      <c r="F111">
        <v>301</v>
      </c>
      <c r="G111">
        <v>202</v>
      </c>
      <c r="H111">
        <v>162</v>
      </c>
      <c r="I111">
        <v>114</v>
      </c>
      <c r="J111">
        <v>61</v>
      </c>
      <c r="K111">
        <v>45</v>
      </c>
      <c r="L111" s="1">
        <v>42924</v>
      </c>
      <c r="M111" t="s">
        <v>24</v>
      </c>
      <c r="N111">
        <f>SUM(Table6[[#This Row],[15 ~ 19]:[&gt;= 60]])</f>
        <v>1769</v>
      </c>
    </row>
    <row r="112" spans="1:14" x14ac:dyDescent="0.3">
      <c r="A112" t="s">
        <v>12</v>
      </c>
      <c r="B112">
        <v>3</v>
      </c>
      <c r="C112">
        <v>151</v>
      </c>
      <c r="D112">
        <v>395</v>
      </c>
      <c r="E112">
        <v>374</v>
      </c>
      <c r="F112">
        <v>348</v>
      </c>
      <c r="G112">
        <v>222</v>
      </c>
      <c r="H112">
        <v>189</v>
      </c>
      <c r="I112">
        <v>123</v>
      </c>
      <c r="J112">
        <v>56</v>
      </c>
      <c r="K112">
        <v>50</v>
      </c>
      <c r="L112" s="1">
        <v>42972</v>
      </c>
      <c r="M112" t="s">
        <v>25</v>
      </c>
      <c r="N112">
        <f>SUM(Table6[[#This Row],[15 ~ 19]:[&gt;= 60]])</f>
        <v>1911</v>
      </c>
    </row>
    <row r="113" spans="1:14" x14ac:dyDescent="0.3">
      <c r="A113" t="s">
        <v>12</v>
      </c>
      <c r="B113">
        <v>3</v>
      </c>
      <c r="C113">
        <v>116</v>
      </c>
      <c r="D113">
        <v>395</v>
      </c>
      <c r="E113">
        <v>396</v>
      </c>
      <c r="F113">
        <v>367</v>
      </c>
      <c r="G113">
        <v>282</v>
      </c>
      <c r="H113">
        <v>179</v>
      </c>
      <c r="I113">
        <v>121</v>
      </c>
      <c r="J113">
        <v>71</v>
      </c>
      <c r="K113">
        <v>45</v>
      </c>
      <c r="L113" s="1">
        <v>42972</v>
      </c>
      <c r="M113" t="s">
        <v>26</v>
      </c>
      <c r="N113">
        <f>SUM(Table6[[#This Row],[15 ~ 19]:[&gt;= 60]])</f>
        <v>1975</v>
      </c>
    </row>
    <row r="114" spans="1:14" x14ac:dyDescent="0.3">
      <c r="A114" t="s">
        <v>12</v>
      </c>
      <c r="B114">
        <v>3</v>
      </c>
      <c r="C114">
        <v>128</v>
      </c>
      <c r="D114">
        <v>399</v>
      </c>
      <c r="E114">
        <v>444</v>
      </c>
      <c r="F114">
        <v>381</v>
      </c>
      <c r="G114">
        <v>254</v>
      </c>
      <c r="H114">
        <v>192</v>
      </c>
      <c r="I114">
        <v>149</v>
      </c>
      <c r="J114">
        <v>69</v>
      </c>
      <c r="K114">
        <v>49</v>
      </c>
      <c r="L114" s="1">
        <v>43146</v>
      </c>
      <c r="M114" t="s">
        <v>2</v>
      </c>
      <c r="N114">
        <f>SUM(Table6[[#This Row],[15 ~ 19]:[&gt;= 60]])</f>
        <v>2068</v>
      </c>
    </row>
    <row r="115" spans="1:14" x14ac:dyDescent="0.3">
      <c r="A115" t="s">
        <v>12</v>
      </c>
      <c r="B115">
        <v>4</v>
      </c>
      <c r="C115">
        <v>131</v>
      </c>
      <c r="D115">
        <v>348</v>
      </c>
      <c r="E115">
        <v>352</v>
      </c>
      <c r="F115">
        <v>274</v>
      </c>
      <c r="G115">
        <v>220</v>
      </c>
      <c r="H115">
        <v>171</v>
      </c>
      <c r="I115">
        <v>119</v>
      </c>
      <c r="J115">
        <v>50</v>
      </c>
      <c r="K115">
        <v>42</v>
      </c>
      <c r="L115" s="1">
        <v>43235</v>
      </c>
      <c r="M115" t="s">
        <v>24</v>
      </c>
      <c r="N115">
        <f>SUM(Table6[[#This Row],[15 ~ 19]:[&gt;= 60]])</f>
        <v>1711</v>
      </c>
    </row>
    <row r="116" spans="1:14" x14ac:dyDescent="0.3">
      <c r="A116" t="s">
        <v>12</v>
      </c>
      <c r="B116">
        <v>1</v>
      </c>
      <c r="C116">
        <v>127</v>
      </c>
      <c r="D116">
        <v>291</v>
      </c>
      <c r="E116">
        <v>397</v>
      </c>
      <c r="F116">
        <v>293</v>
      </c>
      <c r="G116">
        <v>235</v>
      </c>
      <c r="H116">
        <v>170</v>
      </c>
      <c r="I116">
        <v>95</v>
      </c>
      <c r="J116">
        <v>62</v>
      </c>
      <c r="K116">
        <v>39</v>
      </c>
      <c r="L116" s="1">
        <v>43235</v>
      </c>
      <c r="M116" t="s">
        <v>24</v>
      </c>
      <c r="N116">
        <f>SUM(Table6[[#This Row],[15 ~ 19]:[&gt;= 60]])</f>
        <v>1710</v>
      </c>
    </row>
    <row r="117" spans="1:14" x14ac:dyDescent="0.3">
      <c r="A117" t="s">
        <v>12</v>
      </c>
      <c r="B117">
        <v>4</v>
      </c>
      <c r="C117">
        <v>73</v>
      </c>
      <c r="D117">
        <v>278</v>
      </c>
      <c r="E117">
        <v>326</v>
      </c>
      <c r="F117">
        <v>295</v>
      </c>
      <c r="G117">
        <v>217</v>
      </c>
      <c r="H117">
        <v>170</v>
      </c>
      <c r="I117">
        <v>106</v>
      </c>
      <c r="J117">
        <v>67</v>
      </c>
      <c r="K117">
        <v>37</v>
      </c>
      <c r="L117" s="1">
        <v>43235</v>
      </c>
      <c r="M117" t="s">
        <v>24</v>
      </c>
      <c r="N117">
        <f>SUM(Table6[[#This Row],[15 ~ 19]:[&gt;= 60]])</f>
        <v>1573</v>
      </c>
    </row>
    <row r="118" spans="1:14" x14ac:dyDescent="0.3">
      <c r="A118" t="s">
        <v>16</v>
      </c>
      <c r="B118">
        <v>0</v>
      </c>
      <c r="C118">
        <v>2</v>
      </c>
      <c r="D118">
        <v>8</v>
      </c>
      <c r="E118">
        <v>17</v>
      </c>
      <c r="F118">
        <v>9</v>
      </c>
      <c r="G118">
        <v>11</v>
      </c>
      <c r="H118">
        <v>2</v>
      </c>
      <c r="I118">
        <v>1</v>
      </c>
      <c r="J118">
        <v>2</v>
      </c>
      <c r="K118">
        <v>0</v>
      </c>
      <c r="L118" s="1">
        <v>42405</v>
      </c>
      <c r="M118" t="s">
        <v>2</v>
      </c>
      <c r="N118">
        <f>SUM(Table6[[#This Row],[15 ~ 19]:[&gt;= 60]])</f>
        <v>52</v>
      </c>
    </row>
    <row r="119" spans="1:14" x14ac:dyDescent="0.3">
      <c r="A119" t="s">
        <v>16</v>
      </c>
      <c r="B119">
        <v>0</v>
      </c>
      <c r="C119">
        <v>9</v>
      </c>
      <c r="D119">
        <v>24</v>
      </c>
      <c r="E119">
        <v>16</v>
      </c>
      <c r="F119">
        <v>14</v>
      </c>
      <c r="G119">
        <v>9</v>
      </c>
      <c r="H119">
        <v>12</v>
      </c>
      <c r="I119">
        <v>6</v>
      </c>
      <c r="J119">
        <v>4</v>
      </c>
      <c r="K119">
        <v>1</v>
      </c>
      <c r="L119" s="1">
        <v>42434</v>
      </c>
      <c r="M119" t="s">
        <v>24</v>
      </c>
      <c r="N119">
        <f>SUM(Table6[[#This Row],[15 ~ 19]:[&gt;= 60]])</f>
        <v>95</v>
      </c>
    </row>
    <row r="120" spans="1:14" x14ac:dyDescent="0.3">
      <c r="A120" t="s">
        <v>16</v>
      </c>
      <c r="B120">
        <v>0</v>
      </c>
      <c r="C120">
        <v>11</v>
      </c>
      <c r="D120">
        <v>11</v>
      </c>
      <c r="E120">
        <v>9</v>
      </c>
      <c r="F120">
        <v>10</v>
      </c>
      <c r="G120">
        <v>4</v>
      </c>
      <c r="H120">
        <v>4</v>
      </c>
      <c r="I120">
        <v>2</v>
      </c>
      <c r="J120">
        <v>1</v>
      </c>
      <c r="K120">
        <v>0</v>
      </c>
      <c r="L120" s="1">
        <v>42558</v>
      </c>
      <c r="M120" t="s">
        <v>25</v>
      </c>
      <c r="N120">
        <f>SUM(Table6[[#This Row],[15 ~ 19]:[&gt;= 60]])</f>
        <v>52</v>
      </c>
    </row>
    <row r="121" spans="1:14" x14ac:dyDescent="0.3">
      <c r="A121" t="s">
        <v>16</v>
      </c>
      <c r="B121">
        <v>0</v>
      </c>
      <c r="C121">
        <v>4</v>
      </c>
      <c r="D121">
        <v>15</v>
      </c>
      <c r="E121">
        <v>8</v>
      </c>
      <c r="F121">
        <v>6</v>
      </c>
      <c r="G121">
        <v>10</v>
      </c>
      <c r="H121">
        <v>9</v>
      </c>
      <c r="I121">
        <v>1</v>
      </c>
      <c r="J121">
        <v>0</v>
      </c>
      <c r="K121">
        <v>1</v>
      </c>
      <c r="L121" t="s">
        <v>42</v>
      </c>
      <c r="M121" t="s">
        <v>26</v>
      </c>
      <c r="N121">
        <f>SUM(Table6[[#This Row],[15 ~ 19]:[&gt;= 60]])</f>
        <v>54</v>
      </c>
    </row>
    <row r="122" spans="1:14" x14ac:dyDescent="0.3">
      <c r="A122" t="s">
        <v>16</v>
      </c>
      <c r="B122">
        <v>0</v>
      </c>
      <c r="C122">
        <v>4</v>
      </c>
      <c r="D122">
        <v>12</v>
      </c>
      <c r="E122">
        <v>15</v>
      </c>
      <c r="F122">
        <v>12</v>
      </c>
      <c r="G122">
        <v>14</v>
      </c>
      <c r="H122">
        <v>5</v>
      </c>
      <c r="I122">
        <v>4</v>
      </c>
      <c r="J122">
        <v>1</v>
      </c>
      <c r="K122">
        <v>3</v>
      </c>
      <c r="L122" s="1">
        <v>42795</v>
      </c>
      <c r="M122" t="s">
        <v>2</v>
      </c>
      <c r="N122">
        <f>SUM(Table6[[#This Row],[15 ~ 19]:[&gt;= 60]])</f>
        <v>70</v>
      </c>
    </row>
    <row r="123" spans="1:14" x14ac:dyDescent="0.3">
      <c r="A123" t="s">
        <v>16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 s="1">
        <v>42924</v>
      </c>
      <c r="M123" t="s">
        <v>24</v>
      </c>
      <c r="N123">
        <f>SUM(Table6[[#This Row],[15 ~ 19]:[&gt;= 60]])</f>
        <v>3</v>
      </c>
    </row>
    <row r="124" spans="1:14" x14ac:dyDescent="0.3">
      <c r="A124" t="s">
        <v>16</v>
      </c>
      <c r="B124">
        <v>0</v>
      </c>
      <c r="C124">
        <v>1</v>
      </c>
      <c r="D124">
        <v>3</v>
      </c>
      <c r="E124">
        <v>4</v>
      </c>
      <c r="F124">
        <v>2</v>
      </c>
      <c r="G124">
        <v>2</v>
      </c>
      <c r="H124">
        <v>0</v>
      </c>
      <c r="I124">
        <v>1</v>
      </c>
      <c r="J124">
        <v>2</v>
      </c>
      <c r="K124">
        <v>0</v>
      </c>
      <c r="L124" s="1">
        <v>42976</v>
      </c>
      <c r="M124" t="s">
        <v>25</v>
      </c>
      <c r="N124">
        <f>SUM(Table6[[#This Row],[15 ~ 19]:[&gt;= 60]])</f>
        <v>15</v>
      </c>
    </row>
    <row r="125" spans="1:14" x14ac:dyDescent="0.3">
      <c r="A125" t="s">
        <v>16</v>
      </c>
      <c r="B125">
        <v>0</v>
      </c>
      <c r="C125">
        <v>0</v>
      </c>
      <c r="D125">
        <v>2</v>
      </c>
      <c r="E125">
        <v>3</v>
      </c>
      <c r="F125">
        <v>8</v>
      </c>
      <c r="G125">
        <v>2</v>
      </c>
      <c r="H125">
        <v>2</v>
      </c>
      <c r="I125">
        <v>3</v>
      </c>
      <c r="J125">
        <v>2</v>
      </c>
      <c r="K125">
        <v>0</v>
      </c>
      <c r="L125" s="1">
        <v>42976</v>
      </c>
      <c r="M125" t="s">
        <v>26</v>
      </c>
      <c r="N125">
        <f>SUM(Table6[[#This Row],[15 ~ 19]:[&gt;= 60]])</f>
        <v>22</v>
      </c>
    </row>
    <row r="126" spans="1:14" x14ac:dyDescent="0.3">
      <c r="A126" t="s">
        <v>16</v>
      </c>
      <c r="B126">
        <v>0</v>
      </c>
      <c r="C126">
        <v>1</v>
      </c>
      <c r="D126">
        <v>6</v>
      </c>
      <c r="E126">
        <v>3</v>
      </c>
      <c r="F126">
        <v>11</v>
      </c>
      <c r="G126">
        <v>8</v>
      </c>
      <c r="H126">
        <v>2</v>
      </c>
      <c r="I126">
        <v>3</v>
      </c>
      <c r="J126">
        <v>0</v>
      </c>
      <c r="K126">
        <v>0</v>
      </c>
      <c r="L126" s="1">
        <v>43150</v>
      </c>
      <c r="M126" t="s">
        <v>2</v>
      </c>
      <c r="N126">
        <f>SUM(Table6[[#This Row],[15 ~ 19]:[&gt;= 60]])</f>
        <v>34</v>
      </c>
    </row>
    <row r="127" spans="1:14" x14ac:dyDescent="0.3">
      <c r="A127" t="s">
        <v>16</v>
      </c>
      <c r="B127">
        <v>0</v>
      </c>
      <c r="C127">
        <v>1</v>
      </c>
      <c r="D127">
        <v>1</v>
      </c>
      <c r="E127">
        <v>4</v>
      </c>
      <c r="F127">
        <v>4</v>
      </c>
      <c r="G127">
        <v>2</v>
      </c>
      <c r="H127">
        <v>2</v>
      </c>
      <c r="I127">
        <v>3</v>
      </c>
      <c r="J127">
        <v>1</v>
      </c>
      <c r="K127">
        <v>0</v>
      </c>
      <c r="L127" s="1">
        <v>43239</v>
      </c>
      <c r="M127" t="s">
        <v>24</v>
      </c>
      <c r="N127">
        <f>SUM(Table6[[#This Row],[15 ~ 19]:[&gt;= 60]])</f>
        <v>18</v>
      </c>
    </row>
    <row r="128" spans="1:14" x14ac:dyDescent="0.3">
      <c r="A128" t="s">
        <v>16</v>
      </c>
      <c r="B128">
        <v>0</v>
      </c>
      <c r="C128">
        <v>1</v>
      </c>
      <c r="D128">
        <v>1</v>
      </c>
      <c r="E128">
        <v>2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0</v>
      </c>
      <c r="L128" s="1">
        <v>43239</v>
      </c>
      <c r="M128" t="s">
        <v>24</v>
      </c>
      <c r="N128">
        <f>SUM(Table6[[#This Row],[15 ~ 19]:[&gt;= 60]])</f>
        <v>8</v>
      </c>
    </row>
    <row r="129" spans="1:14" x14ac:dyDescent="0.3">
      <c r="A129" t="s">
        <v>16</v>
      </c>
      <c r="B129">
        <v>0</v>
      </c>
      <c r="C129">
        <v>0</v>
      </c>
      <c r="D129">
        <v>11</v>
      </c>
      <c r="E129">
        <v>5</v>
      </c>
      <c r="F129">
        <v>6</v>
      </c>
      <c r="G129">
        <v>5</v>
      </c>
      <c r="H129">
        <v>4</v>
      </c>
      <c r="I129">
        <v>3</v>
      </c>
      <c r="J129">
        <v>3</v>
      </c>
      <c r="K129">
        <v>1</v>
      </c>
      <c r="L129" s="1">
        <v>43239</v>
      </c>
      <c r="M129" t="s">
        <v>24</v>
      </c>
      <c r="N129">
        <f>SUM(Table6[[#This Row],[15 ~ 19]:[&gt;= 60]])</f>
        <v>38</v>
      </c>
    </row>
    <row r="130" spans="1:14" x14ac:dyDescent="0.3">
      <c r="A130" t="s">
        <v>4</v>
      </c>
      <c r="B130">
        <v>0</v>
      </c>
      <c r="C130">
        <v>2</v>
      </c>
      <c r="D130">
        <v>17</v>
      </c>
      <c r="E130">
        <v>6</v>
      </c>
      <c r="F130">
        <v>5</v>
      </c>
      <c r="G130">
        <v>4</v>
      </c>
      <c r="H130">
        <v>1</v>
      </c>
      <c r="I130">
        <v>2</v>
      </c>
      <c r="J130">
        <v>0</v>
      </c>
      <c r="K130">
        <v>0</v>
      </c>
      <c r="L130" s="1">
        <v>42405</v>
      </c>
      <c r="M130" t="s">
        <v>2</v>
      </c>
      <c r="N130">
        <f>SUM(Table6[[#This Row],[15 ~ 19]:[&gt;= 60]])</f>
        <v>37</v>
      </c>
    </row>
    <row r="131" spans="1:14" x14ac:dyDescent="0.3">
      <c r="A131" t="s">
        <v>4</v>
      </c>
      <c r="B131">
        <v>0</v>
      </c>
      <c r="C131">
        <v>0</v>
      </c>
      <c r="D131">
        <v>3</v>
      </c>
      <c r="E131">
        <v>6</v>
      </c>
      <c r="F131">
        <v>1</v>
      </c>
      <c r="G131">
        <v>3</v>
      </c>
      <c r="H131">
        <v>3</v>
      </c>
      <c r="I131">
        <v>2</v>
      </c>
      <c r="J131">
        <v>0</v>
      </c>
      <c r="K131">
        <v>0</v>
      </c>
      <c r="L131" s="1">
        <v>42434</v>
      </c>
      <c r="M131" t="s">
        <v>24</v>
      </c>
      <c r="N131">
        <f>SUM(Table6[[#This Row],[15 ~ 19]:[&gt;= 60]])</f>
        <v>18</v>
      </c>
    </row>
    <row r="132" spans="1:14" x14ac:dyDescent="0.3">
      <c r="A132" t="s">
        <v>4</v>
      </c>
      <c r="B132">
        <v>0</v>
      </c>
      <c r="C132">
        <v>0</v>
      </c>
      <c r="D132">
        <v>1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0</v>
      </c>
      <c r="K132">
        <v>0</v>
      </c>
      <c r="L132" s="1">
        <v>42558</v>
      </c>
      <c r="M132" t="s">
        <v>25</v>
      </c>
      <c r="N132">
        <f>SUM(Table6[[#This Row],[15 ~ 19]:[&gt;= 60]])</f>
        <v>10</v>
      </c>
    </row>
    <row r="133" spans="1:14" x14ac:dyDescent="0.3">
      <c r="A133" t="s">
        <v>4</v>
      </c>
      <c r="B133">
        <v>1</v>
      </c>
      <c r="C133">
        <v>1</v>
      </c>
      <c r="D133">
        <v>5</v>
      </c>
      <c r="E133">
        <v>3</v>
      </c>
      <c r="F133">
        <v>2</v>
      </c>
      <c r="G133">
        <v>2</v>
      </c>
      <c r="H133">
        <v>0</v>
      </c>
      <c r="I133">
        <v>0</v>
      </c>
      <c r="J133">
        <v>1</v>
      </c>
      <c r="K133">
        <v>0</v>
      </c>
      <c r="L133" t="s">
        <v>42</v>
      </c>
      <c r="M133" t="s">
        <v>26</v>
      </c>
      <c r="N133">
        <f>SUM(Table6[[#This Row],[15 ~ 19]:[&gt;= 60]])</f>
        <v>15</v>
      </c>
    </row>
    <row r="134" spans="1:14" x14ac:dyDescent="0.3">
      <c r="A134" t="s">
        <v>4</v>
      </c>
      <c r="B134">
        <v>0</v>
      </c>
      <c r="C134">
        <v>5</v>
      </c>
      <c r="D134">
        <v>9</v>
      </c>
      <c r="E134">
        <v>11</v>
      </c>
      <c r="F134">
        <v>5</v>
      </c>
      <c r="G134">
        <v>3</v>
      </c>
      <c r="H134">
        <v>2</v>
      </c>
      <c r="I134">
        <v>1</v>
      </c>
      <c r="J134">
        <v>0</v>
      </c>
      <c r="K134">
        <v>0</v>
      </c>
      <c r="L134" s="1">
        <v>42783</v>
      </c>
      <c r="M134" t="s">
        <v>2</v>
      </c>
      <c r="N134">
        <f>SUM(Table6[[#This Row],[15 ~ 19]:[&gt;= 60]])</f>
        <v>36</v>
      </c>
    </row>
    <row r="135" spans="1:14" x14ac:dyDescent="0.3">
      <c r="A135" t="s">
        <v>4</v>
      </c>
      <c r="B135">
        <v>0</v>
      </c>
      <c r="C135">
        <v>4</v>
      </c>
      <c r="D135">
        <v>6</v>
      </c>
      <c r="E135">
        <v>6</v>
      </c>
      <c r="F135">
        <v>8</v>
      </c>
      <c r="G135">
        <v>2</v>
      </c>
      <c r="H135">
        <v>3</v>
      </c>
      <c r="I135">
        <v>2</v>
      </c>
      <c r="J135">
        <v>1</v>
      </c>
      <c r="K135">
        <v>0</v>
      </c>
      <c r="L135" s="1">
        <v>42924</v>
      </c>
      <c r="M135" t="s">
        <v>24</v>
      </c>
      <c r="N135">
        <f>SUM(Table6[[#This Row],[15 ~ 19]:[&gt;= 60]])</f>
        <v>32</v>
      </c>
    </row>
    <row r="136" spans="1:14" x14ac:dyDescent="0.3">
      <c r="A136" t="s">
        <v>4</v>
      </c>
      <c r="B136">
        <v>0</v>
      </c>
      <c r="C136">
        <v>0</v>
      </c>
      <c r="D136">
        <v>5</v>
      </c>
      <c r="E136">
        <v>6</v>
      </c>
      <c r="F136">
        <v>1</v>
      </c>
      <c r="G136">
        <v>1</v>
      </c>
      <c r="H136">
        <v>1</v>
      </c>
      <c r="I136">
        <v>2</v>
      </c>
      <c r="J136">
        <v>0</v>
      </c>
      <c r="K136">
        <v>0</v>
      </c>
      <c r="L136" s="1">
        <v>42964</v>
      </c>
      <c r="M136" t="s">
        <v>25</v>
      </c>
      <c r="N136">
        <f>SUM(Table6[[#This Row],[15 ~ 19]:[&gt;= 60]])</f>
        <v>16</v>
      </c>
    </row>
    <row r="137" spans="1:14" x14ac:dyDescent="0.3">
      <c r="A137" t="s">
        <v>4</v>
      </c>
      <c r="B137">
        <v>0</v>
      </c>
      <c r="C137">
        <v>0</v>
      </c>
      <c r="D137">
        <v>5</v>
      </c>
      <c r="E137">
        <v>7</v>
      </c>
      <c r="F137">
        <v>8</v>
      </c>
      <c r="G137">
        <v>3</v>
      </c>
      <c r="H137">
        <v>8</v>
      </c>
      <c r="I137">
        <v>1</v>
      </c>
      <c r="J137">
        <v>2</v>
      </c>
      <c r="K137">
        <v>3</v>
      </c>
      <c r="L137" s="1">
        <v>42964</v>
      </c>
      <c r="M137" t="s">
        <v>26</v>
      </c>
      <c r="N137">
        <f>SUM(Table6[[#This Row],[15 ~ 19]:[&gt;= 60]])</f>
        <v>37</v>
      </c>
    </row>
    <row r="138" spans="1:14" x14ac:dyDescent="0.3">
      <c r="A138" t="s">
        <v>4</v>
      </c>
      <c r="B138">
        <v>0</v>
      </c>
      <c r="C138">
        <v>4</v>
      </c>
      <c r="D138">
        <v>7</v>
      </c>
      <c r="E138">
        <v>14</v>
      </c>
      <c r="F138">
        <v>8</v>
      </c>
      <c r="G138">
        <v>6</v>
      </c>
      <c r="H138">
        <v>6</v>
      </c>
      <c r="I138">
        <v>2</v>
      </c>
      <c r="J138">
        <v>0</v>
      </c>
      <c r="K138">
        <v>0</v>
      </c>
      <c r="L138" s="1">
        <v>43138</v>
      </c>
      <c r="M138" t="s">
        <v>2</v>
      </c>
      <c r="N138">
        <f>SUM(Table6[[#This Row],[15 ~ 19]:[&gt;= 60]])</f>
        <v>47</v>
      </c>
    </row>
    <row r="139" spans="1:14" x14ac:dyDescent="0.3">
      <c r="A139" t="s">
        <v>4</v>
      </c>
      <c r="B139">
        <v>0</v>
      </c>
      <c r="C139">
        <v>1</v>
      </c>
      <c r="D139">
        <v>7</v>
      </c>
      <c r="E139">
        <v>9</v>
      </c>
      <c r="F139">
        <v>9</v>
      </c>
      <c r="G139">
        <v>2</v>
      </c>
      <c r="H139">
        <v>1</v>
      </c>
      <c r="I139">
        <v>3</v>
      </c>
      <c r="J139">
        <v>1</v>
      </c>
      <c r="K139">
        <v>0</v>
      </c>
      <c r="L139" s="1">
        <v>43227</v>
      </c>
      <c r="M139" t="s">
        <v>24</v>
      </c>
      <c r="N139">
        <f>SUM(Table6[[#This Row],[15 ~ 19]:[&gt;= 60]])</f>
        <v>33</v>
      </c>
    </row>
    <row r="140" spans="1:14" x14ac:dyDescent="0.3">
      <c r="A140" t="s">
        <v>4</v>
      </c>
      <c r="B140">
        <v>0</v>
      </c>
      <c r="C140">
        <v>1</v>
      </c>
      <c r="D140">
        <v>4</v>
      </c>
      <c r="E140">
        <v>6</v>
      </c>
      <c r="F140">
        <v>7</v>
      </c>
      <c r="G140">
        <v>4</v>
      </c>
      <c r="H140">
        <v>2</v>
      </c>
      <c r="I140">
        <v>0</v>
      </c>
      <c r="J140">
        <v>0</v>
      </c>
      <c r="K140">
        <v>0</v>
      </c>
      <c r="L140" s="1">
        <v>43227</v>
      </c>
      <c r="M140" t="s">
        <v>24</v>
      </c>
      <c r="N140">
        <f>SUM(Table6[[#This Row],[15 ~ 19]:[&gt;= 60]])</f>
        <v>24</v>
      </c>
    </row>
    <row r="141" spans="1:14" x14ac:dyDescent="0.3">
      <c r="A141" t="s">
        <v>4</v>
      </c>
      <c r="B141">
        <v>0</v>
      </c>
      <c r="C141">
        <v>1</v>
      </c>
      <c r="D141">
        <v>2</v>
      </c>
      <c r="E141">
        <v>4</v>
      </c>
      <c r="F141">
        <v>3</v>
      </c>
      <c r="G141">
        <v>4</v>
      </c>
      <c r="H141">
        <v>5</v>
      </c>
      <c r="I141">
        <v>2</v>
      </c>
      <c r="J141">
        <v>1</v>
      </c>
      <c r="K141">
        <v>1</v>
      </c>
      <c r="L141" s="1">
        <v>43227</v>
      </c>
      <c r="M141" t="s">
        <v>24</v>
      </c>
      <c r="N141">
        <f>SUM(Table6[[#This Row],[15 ~ 19]:[&gt;= 60]])</f>
        <v>23</v>
      </c>
    </row>
    <row r="142" spans="1:14" x14ac:dyDescent="0.3">
      <c r="A142" t="s">
        <v>19</v>
      </c>
      <c r="B142">
        <v>0</v>
      </c>
      <c r="C142">
        <v>20</v>
      </c>
      <c r="D142">
        <v>73</v>
      </c>
      <c r="E142">
        <v>42</v>
      </c>
      <c r="F142">
        <v>41</v>
      </c>
      <c r="G142">
        <v>21</v>
      </c>
      <c r="H142">
        <v>25</v>
      </c>
      <c r="I142">
        <v>8</v>
      </c>
      <c r="J142">
        <v>3</v>
      </c>
      <c r="K142">
        <v>1</v>
      </c>
      <c r="L142" s="1">
        <v>42405</v>
      </c>
      <c r="M142" t="s">
        <v>2</v>
      </c>
      <c r="N142">
        <f>SUM(Table6[[#This Row],[15 ~ 19]:[&gt;= 60]])</f>
        <v>234</v>
      </c>
    </row>
    <row r="143" spans="1:14" x14ac:dyDescent="0.3">
      <c r="A143" t="s">
        <v>19</v>
      </c>
      <c r="B143">
        <v>0</v>
      </c>
      <c r="C143">
        <v>20</v>
      </c>
      <c r="D143">
        <v>43</v>
      </c>
      <c r="E143">
        <v>33</v>
      </c>
      <c r="F143">
        <v>26</v>
      </c>
      <c r="G143">
        <v>14</v>
      </c>
      <c r="H143">
        <v>14</v>
      </c>
      <c r="I143">
        <v>10</v>
      </c>
      <c r="J143">
        <v>4</v>
      </c>
      <c r="K143">
        <v>0</v>
      </c>
      <c r="L143" s="1">
        <v>42434</v>
      </c>
      <c r="M143" t="s">
        <v>24</v>
      </c>
      <c r="N143">
        <f>SUM(Table6[[#This Row],[15 ~ 19]:[&gt;= 60]])</f>
        <v>164</v>
      </c>
    </row>
    <row r="144" spans="1:14" x14ac:dyDescent="0.3">
      <c r="A144" t="s">
        <v>19</v>
      </c>
      <c r="B144">
        <v>0</v>
      </c>
      <c r="C144">
        <v>12</v>
      </c>
      <c r="D144">
        <v>37</v>
      </c>
      <c r="E144">
        <v>28</v>
      </c>
      <c r="F144">
        <v>17</v>
      </c>
      <c r="G144">
        <v>17</v>
      </c>
      <c r="H144">
        <v>8</v>
      </c>
      <c r="I144">
        <v>3</v>
      </c>
      <c r="J144">
        <v>1</v>
      </c>
      <c r="K144">
        <v>2</v>
      </c>
      <c r="L144" s="1">
        <v>42558</v>
      </c>
      <c r="M144" t="s">
        <v>25</v>
      </c>
      <c r="N144">
        <f>SUM(Table6[[#This Row],[15 ~ 19]:[&gt;= 60]])</f>
        <v>125</v>
      </c>
    </row>
    <row r="145" spans="1:14" x14ac:dyDescent="0.3">
      <c r="A145" t="s">
        <v>19</v>
      </c>
      <c r="B145">
        <v>0</v>
      </c>
      <c r="C145">
        <v>18</v>
      </c>
      <c r="D145">
        <v>60</v>
      </c>
      <c r="E145">
        <v>71</v>
      </c>
      <c r="F145">
        <v>36</v>
      </c>
      <c r="G145">
        <v>25</v>
      </c>
      <c r="H145">
        <v>17</v>
      </c>
      <c r="I145">
        <v>10</v>
      </c>
      <c r="J145">
        <v>3</v>
      </c>
      <c r="K145">
        <v>3</v>
      </c>
      <c r="L145" t="s">
        <v>42</v>
      </c>
      <c r="M145" t="s">
        <v>26</v>
      </c>
      <c r="N145">
        <f>SUM(Table6[[#This Row],[15 ~ 19]:[&gt;= 60]])</f>
        <v>243</v>
      </c>
    </row>
    <row r="146" spans="1:14" x14ac:dyDescent="0.3">
      <c r="A146" t="s">
        <v>19</v>
      </c>
      <c r="B146">
        <v>0</v>
      </c>
      <c r="C146">
        <v>16</v>
      </c>
      <c r="D146">
        <v>50</v>
      </c>
      <c r="E146">
        <v>76</v>
      </c>
      <c r="F146">
        <v>45</v>
      </c>
      <c r="G146">
        <v>38</v>
      </c>
      <c r="H146">
        <v>25</v>
      </c>
      <c r="I146">
        <v>4</v>
      </c>
      <c r="J146">
        <v>7</v>
      </c>
      <c r="K146">
        <v>1</v>
      </c>
      <c r="L146" s="1">
        <v>42798</v>
      </c>
      <c r="M146" t="s">
        <v>2</v>
      </c>
      <c r="N146">
        <f>SUM(Table6[[#This Row],[15 ~ 19]:[&gt;= 60]])</f>
        <v>262</v>
      </c>
    </row>
    <row r="147" spans="1:14" x14ac:dyDescent="0.3">
      <c r="A147" t="s">
        <v>19</v>
      </c>
      <c r="B147">
        <v>0</v>
      </c>
      <c r="C147">
        <v>4</v>
      </c>
      <c r="D147">
        <v>31</v>
      </c>
      <c r="E147">
        <v>46</v>
      </c>
      <c r="F147">
        <v>32</v>
      </c>
      <c r="G147">
        <v>22</v>
      </c>
      <c r="H147">
        <v>12</v>
      </c>
      <c r="I147">
        <v>7</v>
      </c>
      <c r="J147">
        <v>4</v>
      </c>
      <c r="K147">
        <v>5</v>
      </c>
      <c r="L147" s="1">
        <v>42924</v>
      </c>
      <c r="M147" t="s">
        <v>24</v>
      </c>
      <c r="N147">
        <f>SUM(Table6[[#This Row],[15 ~ 19]:[&gt;= 60]])</f>
        <v>163</v>
      </c>
    </row>
    <row r="148" spans="1:14" x14ac:dyDescent="0.3">
      <c r="A148" t="s">
        <v>19</v>
      </c>
      <c r="B148">
        <v>0</v>
      </c>
      <c r="C148">
        <v>6</v>
      </c>
      <c r="D148">
        <v>36</v>
      </c>
      <c r="E148">
        <v>43</v>
      </c>
      <c r="F148">
        <v>35</v>
      </c>
      <c r="G148">
        <v>24</v>
      </c>
      <c r="H148">
        <v>8</v>
      </c>
      <c r="I148">
        <v>8</v>
      </c>
      <c r="J148">
        <v>2</v>
      </c>
      <c r="K148">
        <v>4</v>
      </c>
      <c r="L148" s="1">
        <v>42978</v>
      </c>
      <c r="M148" t="s">
        <v>25</v>
      </c>
      <c r="N148">
        <f>SUM(Table6[[#This Row],[15 ~ 19]:[&gt;= 60]])</f>
        <v>166</v>
      </c>
    </row>
    <row r="149" spans="1:14" x14ac:dyDescent="0.3">
      <c r="A149" t="s">
        <v>19</v>
      </c>
      <c r="B149">
        <v>0</v>
      </c>
      <c r="C149">
        <v>16</v>
      </c>
      <c r="D149">
        <v>51</v>
      </c>
      <c r="E149">
        <v>66</v>
      </c>
      <c r="F149">
        <v>37</v>
      </c>
      <c r="G149">
        <v>24</v>
      </c>
      <c r="H149">
        <v>22</v>
      </c>
      <c r="I149">
        <v>13</v>
      </c>
      <c r="J149">
        <v>3</v>
      </c>
      <c r="K149">
        <v>2</v>
      </c>
      <c r="L149" s="1">
        <v>42979</v>
      </c>
      <c r="M149" t="s">
        <v>26</v>
      </c>
      <c r="N149">
        <f>SUM(Table6[[#This Row],[15 ~ 19]:[&gt;= 60]])</f>
        <v>234</v>
      </c>
    </row>
    <row r="150" spans="1:14" x14ac:dyDescent="0.3">
      <c r="A150" t="s">
        <v>19</v>
      </c>
      <c r="B150">
        <v>0</v>
      </c>
      <c r="C150">
        <v>10</v>
      </c>
      <c r="D150">
        <v>57</v>
      </c>
      <c r="E150">
        <v>52</v>
      </c>
      <c r="F150">
        <v>42</v>
      </c>
      <c r="G150">
        <v>23</v>
      </c>
      <c r="H150">
        <v>23</v>
      </c>
      <c r="I150">
        <v>11</v>
      </c>
      <c r="J150">
        <v>2</v>
      </c>
      <c r="K150">
        <v>0</v>
      </c>
      <c r="L150" s="1">
        <v>43153</v>
      </c>
      <c r="M150" t="s">
        <v>2</v>
      </c>
      <c r="N150">
        <f>SUM(Table6[[#This Row],[15 ~ 19]:[&gt;= 60]])</f>
        <v>220</v>
      </c>
    </row>
    <row r="151" spans="1:14" x14ac:dyDescent="0.3">
      <c r="A151" t="s">
        <v>19</v>
      </c>
      <c r="B151">
        <v>0</v>
      </c>
      <c r="C151">
        <v>14</v>
      </c>
      <c r="D151">
        <v>45</v>
      </c>
      <c r="E151">
        <v>52</v>
      </c>
      <c r="F151">
        <v>44</v>
      </c>
      <c r="G151">
        <v>23</v>
      </c>
      <c r="H151">
        <v>18</v>
      </c>
      <c r="I151">
        <v>7</v>
      </c>
      <c r="J151">
        <v>5</v>
      </c>
      <c r="K151">
        <v>0</v>
      </c>
      <c r="L151" s="1">
        <v>43242</v>
      </c>
      <c r="M151" t="s">
        <v>24</v>
      </c>
      <c r="N151">
        <f>SUM(Table6[[#This Row],[15 ~ 19]:[&gt;= 60]])</f>
        <v>208</v>
      </c>
    </row>
    <row r="152" spans="1:14" x14ac:dyDescent="0.3">
      <c r="A152" t="s">
        <v>19</v>
      </c>
      <c r="B152">
        <v>0</v>
      </c>
      <c r="C152">
        <v>4</v>
      </c>
      <c r="D152">
        <v>26</v>
      </c>
      <c r="E152">
        <v>39</v>
      </c>
      <c r="F152">
        <v>28</v>
      </c>
      <c r="G152">
        <v>19</v>
      </c>
      <c r="H152">
        <v>13</v>
      </c>
      <c r="I152">
        <v>10</v>
      </c>
      <c r="J152">
        <v>3</v>
      </c>
      <c r="K152">
        <v>1</v>
      </c>
      <c r="L152" s="1">
        <v>43242</v>
      </c>
      <c r="M152" t="s">
        <v>24</v>
      </c>
      <c r="N152">
        <f>SUM(Table6[[#This Row],[15 ~ 19]:[&gt;= 60]])</f>
        <v>143</v>
      </c>
    </row>
    <row r="153" spans="1:14" x14ac:dyDescent="0.3">
      <c r="A153" t="s">
        <v>19</v>
      </c>
      <c r="B153">
        <v>0</v>
      </c>
      <c r="C153">
        <v>3</v>
      </c>
      <c r="D153">
        <v>21</v>
      </c>
      <c r="E153">
        <v>26</v>
      </c>
      <c r="F153">
        <v>23</v>
      </c>
      <c r="G153">
        <v>15</v>
      </c>
      <c r="H153">
        <v>9</v>
      </c>
      <c r="I153">
        <v>3</v>
      </c>
      <c r="J153">
        <v>3</v>
      </c>
      <c r="K153">
        <v>3</v>
      </c>
      <c r="L153" s="1">
        <v>43242</v>
      </c>
      <c r="M153" t="s">
        <v>24</v>
      </c>
      <c r="N153">
        <f>SUM(Table6[[#This Row],[15 ~ 19]:[&gt;= 60]])</f>
        <v>106</v>
      </c>
    </row>
    <row r="154" spans="1:14" x14ac:dyDescent="0.3">
      <c r="A154" t="s">
        <v>15</v>
      </c>
      <c r="B154">
        <v>5</v>
      </c>
      <c r="C154">
        <v>37</v>
      </c>
      <c r="D154">
        <v>126</v>
      </c>
      <c r="E154">
        <v>115</v>
      </c>
      <c r="F154">
        <v>83</v>
      </c>
      <c r="G154">
        <v>64</v>
      </c>
      <c r="H154">
        <v>44</v>
      </c>
      <c r="I154">
        <v>33</v>
      </c>
      <c r="J154">
        <v>20</v>
      </c>
      <c r="K154">
        <v>11</v>
      </c>
      <c r="L154" s="1">
        <v>42405</v>
      </c>
      <c r="M154" t="s">
        <v>2</v>
      </c>
      <c r="N154">
        <f>SUM(Table6[[#This Row],[15 ~ 19]:[&gt;= 60]])</f>
        <v>538</v>
      </c>
    </row>
    <row r="155" spans="1:14" x14ac:dyDescent="0.3">
      <c r="A155" t="s">
        <v>15</v>
      </c>
      <c r="B155">
        <v>0</v>
      </c>
      <c r="C155">
        <v>45</v>
      </c>
      <c r="D155">
        <v>147</v>
      </c>
      <c r="E155">
        <v>128</v>
      </c>
      <c r="F155">
        <v>113</v>
      </c>
      <c r="G155">
        <v>76</v>
      </c>
      <c r="H155">
        <v>61</v>
      </c>
      <c r="I155">
        <v>33</v>
      </c>
      <c r="J155">
        <v>14</v>
      </c>
      <c r="K155">
        <v>8</v>
      </c>
      <c r="L155" s="1">
        <v>42434</v>
      </c>
      <c r="M155" t="s">
        <v>24</v>
      </c>
      <c r="N155">
        <f>SUM(Table6[[#This Row],[15 ~ 19]:[&gt;= 60]])</f>
        <v>625</v>
      </c>
    </row>
    <row r="156" spans="1:14" x14ac:dyDescent="0.3">
      <c r="A156" t="s">
        <v>15</v>
      </c>
      <c r="B156">
        <v>0</v>
      </c>
      <c r="C156">
        <v>41</v>
      </c>
      <c r="D156">
        <v>88</v>
      </c>
      <c r="E156">
        <v>108</v>
      </c>
      <c r="F156">
        <v>67</v>
      </c>
      <c r="G156">
        <v>81</v>
      </c>
      <c r="H156">
        <v>55</v>
      </c>
      <c r="I156">
        <v>33</v>
      </c>
      <c r="J156">
        <v>24</v>
      </c>
      <c r="K156">
        <v>8</v>
      </c>
      <c r="L156" s="1">
        <v>42558</v>
      </c>
      <c r="M156" t="s">
        <v>25</v>
      </c>
      <c r="N156">
        <f>SUM(Table6[[#This Row],[15 ~ 19]:[&gt;= 60]])</f>
        <v>505</v>
      </c>
    </row>
    <row r="157" spans="1:14" x14ac:dyDescent="0.3">
      <c r="A157" t="s">
        <v>15</v>
      </c>
      <c r="B157">
        <v>0</v>
      </c>
      <c r="C157">
        <v>26</v>
      </c>
      <c r="D157">
        <v>91</v>
      </c>
      <c r="E157">
        <v>98</v>
      </c>
      <c r="F157">
        <v>96</v>
      </c>
      <c r="G157">
        <v>74</v>
      </c>
      <c r="H157">
        <v>39</v>
      </c>
      <c r="I157">
        <v>33</v>
      </c>
      <c r="J157">
        <v>15</v>
      </c>
      <c r="K157">
        <v>10</v>
      </c>
      <c r="L157" t="s">
        <v>42</v>
      </c>
      <c r="M157" t="s">
        <v>26</v>
      </c>
      <c r="N157">
        <f>SUM(Table6[[#This Row],[15 ~ 19]:[&gt;= 60]])</f>
        <v>482</v>
      </c>
    </row>
    <row r="158" spans="1:14" x14ac:dyDescent="0.3">
      <c r="A158" t="s">
        <v>15</v>
      </c>
      <c r="B158">
        <v>1</v>
      </c>
      <c r="C158">
        <v>28</v>
      </c>
      <c r="D158">
        <v>102</v>
      </c>
      <c r="E158">
        <v>102</v>
      </c>
      <c r="F158">
        <v>86</v>
      </c>
      <c r="G158">
        <v>63</v>
      </c>
      <c r="H158">
        <v>44</v>
      </c>
      <c r="I158">
        <v>38</v>
      </c>
      <c r="J158">
        <v>22</v>
      </c>
      <c r="K158">
        <v>9</v>
      </c>
      <c r="L158" s="1">
        <v>42794</v>
      </c>
      <c r="M158" t="s">
        <v>2</v>
      </c>
      <c r="N158">
        <f>SUM(Table6[[#This Row],[15 ~ 19]:[&gt;= 60]])</f>
        <v>495</v>
      </c>
    </row>
    <row r="159" spans="1:14" x14ac:dyDescent="0.3">
      <c r="A159" t="s">
        <v>15</v>
      </c>
      <c r="B159">
        <v>1</v>
      </c>
      <c r="C159">
        <v>23</v>
      </c>
      <c r="D159">
        <v>61</v>
      </c>
      <c r="E159">
        <v>77</v>
      </c>
      <c r="F159">
        <v>53</v>
      </c>
      <c r="G159">
        <v>44</v>
      </c>
      <c r="H159">
        <v>24</v>
      </c>
      <c r="I159">
        <v>17</v>
      </c>
      <c r="J159">
        <v>8</v>
      </c>
      <c r="K159">
        <v>7</v>
      </c>
      <c r="L159" s="1">
        <v>42924</v>
      </c>
      <c r="M159" t="s">
        <v>24</v>
      </c>
      <c r="N159">
        <f>SUM(Table6[[#This Row],[15 ~ 19]:[&gt;= 60]])</f>
        <v>315</v>
      </c>
    </row>
    <row r="160" spans="1:14" x14ac:dyDescent="0.3">
      <c r="A160" t="s">
        <v>15</v>
      </c>
      <c r="B160">
        <v>1</v>
      </c>
      <c r="C160">
        <v>23</v>
      </c>
      <c r="D160">
        <v>44</v>
      </c>
      <c r="E160">
        <v>57</v>
      </c>
      <c r="F160">
        <v>50</v>
      </c>
      <c r="G160">
        <v>34</v>
      </c>
      <c r="H160">
        <v>25</v>
      </c>
      <c r="I160">
        <v>17</v>
      </c>
      <c r="J160">
        <v>10</v>
      </c>
      <c r="K160">
        <v>10</v>
      </c>
      <c r="L160" s="1">
        <v>42975</v>
      </c>
      <c r="M160" t="s">
        <v>25</v>
      </c>
      <c r="N160">
        <f>SUM(Table6[[#This Row],[15 ~ 19]:[&gt;= 60]])</f>
        <v>271</v>
      </c>
    </row>
    <row r="161" spans="1:14" x14ac:dyDescent="0.3">
      <c r="A161" t="s">
        <v>15</v>
      </c>
      <c r="B161">
        <v>1</v>
      </c>
      <c r="C161">
        <v>18</v>
      </c>
      <c r="D161">
        <v>78</v>
      </c>
      <c r="E161">
        <v>104</v>
      </c>
      <c r="F161">
        <v>81</v>
      </c>
      <c r="G161">
        <v>57</v>
      </c>
      <c r="H161">
        <v>45</v>
      </c>
      <c r="I161">
        <v>26</v>
      </c>
      <c r="J161">
        <v>9</v>
      </c>
      <c r="K161">
        <v>5</v>
      </c>
      <c r="L161" s="1">
        <v>42975</v>
      </c>
      <c r="M161" t="s">
        <v>26</v>
      </c>
      <c r="N161">
        <f>SUM(Table6[[#This Row],[15 ~ 19]:[&gt;= 60]])</f>
        <v>424</v>
      </c>
    </row>
    <row r="162" spans="1:14" x14ac:dyDescent="0.3">
      <c r="A162" t="s">
        <v>15</v>
      </c>
      <c r="B162">
        <v>0</v>
      </c>
      <c r="C162">
        <v>28</v>
      </c>
      <c r="D162">
        <v>75</v>
      </c>
      <c r="E162">
        <v>96</v>
      </c>
      <c r="F162">
        <v>93</v>
      </c>
      <c r="G162">
        <v>62</v>
      </c>
      <c r="H162">
        <v>42</v>
      </c>
      <c r="I162">
        <v>17</v>
      </c>
      <c r="J162">
        <v>16</v>
      </c>
      <c r="K162">
        <v>11</v>
      </c>
      <c r="L162" s="1">
        <v>43149</v>
      </c>
      <c r="M162" t="s">
        <v>2</v>
      </c>
      <c r="N162">
        <f>SUM(Table6[[#This Row],[15 ~ 19]:[&gt;= 60]])</f>
        <v>440</v>
      </c>
    </row>
    <row r="163" spans="1:14" x14ac:dyDescent="0.3">
      <c r="A163" t="s">
        <v>15</v>
      </c>
      <c r="B163">
        <v>0</v>
      </c>
      <c r="C163">
        <v>22</v>
      </c>
      <c r="D163">
        <v>78</v>
      </c>
      <c r="E163">
        <v>87</v>
      </c>
      <c r="F163">
        <v>74</v>
      </c>
      <c r="G163">
        <v>45</v>
      </c>
      <c r="H163">
        <v>44</v>
      </c>
      <c r="I163">
        <v>25</v>
      </c>
      <c r="J163">
        <v>13</v>
      </c>
      <c r="K163">
        <v>5</v>
      </c>
      <c r="L163" s="1">
        <v>43238</v>
      </c>
      <c r="M163" t="s">
        <v>24</v>
      </c>
      <c r="N163">
        <f>SUM(Table6[[#This Row],[15 ~ 19]:[&gt;= 60]])</f>
        <v>393</v>
      </c>
    </row>
    <row r="164" spans="1:14" x14ac:dyDescent="0.3">
      <c r="A164" t="s">
        <v>15</v>
      </c>
      <c r="B164">
        <v>0</v>
      </c>
      <c r="C164">
        <v>16</v>
      </c>
      <c r="D164">
        <v>84</v>
      </c>
      <c r="E164">
        <v>76</v>
      </c>
      <c r="F164">
        <v>68</v>
      </c>
      <c r="G164">
        <v>52</v>
      </c>
      <c r="H164">
        <v>34</v>
      </c>
      <c r="I164">
        <v>25</v>
      </c>
      <c r="J164">
        <v>9</v>
      </c>
      <c r="K164">
        <v>8</v>
      </c>
      <c r="L164" s="1">
        <v>43238</v>
      </c>
      <c r="M164" t="s">
        <v>24</v>
      </c>
      <c r="N164">
        <f>SUM(Table6[[#This Row],[15 ~ 19]:[&gt;= 60]])</f>
        <v>372</v>
      </c>
    </row>
    <row r="165" spans="1:14" x14ac:dyDescent="0.3">
      <c r="A165" t="s">
        <v>15</v>
      </c>
      <c r="B165">
        <v>1</v>
      </c>
      <c r="C165">
        <v>23</v>
      </c>
      <c r="D165">
        <v>59</v>
      </c>
      <c r="E165">
        <v>57</v>
      </c>
      <c r="F165">
        <v>57</v>
      </c>
      <c r="G165">
        <v>42</v>
      </c>
      <c r="H165">
        <v>34</v>
      </c>
      <c r="I165">
        <v>29</v>
      </c>
      <c r="J165">
        <v>10</v>
      </c>
      <c r="K165">
        <v>6</v>
      </c>
      <c r="L165" s="1">
        <v>43238</v>
      </c>
      <c r="M165" t="s">
        <v>24</v>
      </c>
      <c r="N165">
        <f>SUM(Table6[[#This Row],[15 ~ 19]:[&gt;= 60]])</f>
        <v>318</v>
      </c>
    </row>
    <row r="166" spans="1:14" x14ac:dyDescent="0.3">
      <c r="A166" t="s">
        <v>8</v>
      </c>
      <c r="B166">
        <v>0</v>
      </c>
      <c r="C166">
        <v>39</v>
      </c>
      <c r="D166">
        <v>157</v>
      </c>
      <c r="E166">
        <v>143</v>
      </c>
      <c r="F166">
        <v>111</v>
      </c>
      <c r="G166">
        <v>58</v>
      </c>
      <c r="H166">
        <v>46</v>
      </c>
      <c r="I166">
        <v>36</v>
      </c>
      <c r="J166">
        <v>19</v>
      </c>
      <c r="K166">
        <v>16</v>
      </c>
      <c r="L166" s="1">
        <v>42405</v>
      </c>
      <c r="M166" t="s">
        <v>2</v>
      </c>
      <c r="N166">
        <f>SUM(Table6[[#This Row],[15 ~ 19]:[&gt;= 60]])</f>
        <v>625</v>
      </c>
    </row>
    <row r="167" spans="1:14" x14ac:dyDescent="0.3">
      <c r="A167" t="s">
        <v>8</v>
      </c>
      <c r="B167">
        <v>1</v>
      </c>
      <c r="C167">
        <v>42</v>
      </c>
      <c r="D167">
        <v>131</v>
      </c>
      <c r="E167">
        <v>126</v>
      </c>
      <c r="F167">
        <v>82</v>
      </c>
      <c r="G167">
        <v>63</v>
      </c>
      <c r="H167">
        <v>47</v>
      </c>
      <c r="I167">
        <v>31</v>
      </c>
      <c r="J167">
        <v>23</v>
      </c>
      <c r="K167">
        <v>16</v>
      </c>
      <c r="L167" s="1">
        <v>42434</v>
      </c>
      <c r="M167" t="s">
        <v>24</v>
      </c>
      <c r="N167">
        <f>SUM(Table6[[#This Row],[15 ~ 19]:[&gt;= 60]])</f>
        <v>562</v>
      </c>
    </row>
    <row r="168" spans="1:14" x14ac:dyDescent="0.3">
      <c r="A168" t="s">
        <v>8</v>
      </c>
      <c r="B168">
        <v>0</v>
      </c>
      <c r="C168">
        <v>44</v>
      </c>
      <c r="D168">
        <v>100</v>
      </c>
      <c r="E168">
        <v>114</v>
      </c>
      <c r="F168">
        <v>68</v>
      </c>
      <c r="G168">
        <v>66</v>
      </c>
      <c r="H168">
        <v>41</v>
      </c>
      <c r="I168">
        <v>32</v>
      </c>
      <c r="J168">
        <v>9</v>
      </c>
      <c r="K168">
        <v>15</v>
      </c>
      <c r="L168" s="1">
        <v>42558</v>
      </c>
      <c r="M168" t="s">
        <v>25</v>
      </c>
      <c r="N168">
        <f>SUM(Table6[[#This Row],[15 ~ 19]:[&gt;= 60]])</f>
        <v>489</v>
      </c>
    </row>
    <row r="169" spans="1:14" x14ac:dyDescent="0.3">
      <c r="A169" t="s">
        <v>8</v>
      </c>
      <c r="B169">
        <v>0</v>
      </c>
      <c r="C169">
        <v>42</v>
      </c>
      <c r="D169">
        <v>125</v>
      </c>
      <c r="E169">
        <v>96</v>
      </c>
      <c r="F169">
        <v>90</v>
      </c>
      <c r="G169">
        <v>59</v>
      </c>
      <c r="H169">
        <v>41</v>
      </c>
      <c r="I169">
        <v>30</v>
      </c>
      <c r="J169">
        <v>20</v>
      </c>
      <c r="K169">
        <v>14</v>
      </c>
      <c r="L169" t="s">
        <v>42</v>
      </c>
      <c r="M169" t="s">
        <v>26</v>
      </c>
      <c r="N169">
        <f>SUM(Table6[[#This Row],[15 ~ 19]:[&gt;= 60]])</f>
        <v>517</v>
      </c>
    </row>
    <row r="170" spans="1:14" x14ac:dyDescent="0.3">
      <c r="A170" t="s">
        <v>8</v>
      </c>
      <c r="B170">
        <v>2</v>
      </c>
      <c r="C170">
        <v>24</v>
      </c>
      <c r="D170">
        <v>135</v>
      </c>
      <c r="E170">
        <v>130</v>
      </c>
      <c r="F170">
        <v>85</v>
      </c>
      <c r="G170">
        <v>65</v>
      </c>
      <c r="H170">
        <v>30</v>
      </c>
      <c r="I170">
        <v>27</v>
      </c>
      <c r="J170">
        <v>23</v>
      </c>
      <c r="K170">
        <v>14</v>
      </c>
      <c r="L170" s="1">
        <v>42787</v>
      </c>
      <c r="M170" t="s">
        <v>2</v>
      </c>
      <c r="N170">
        <f>SUM(Table6[[#This Row],[15 ~ 19]:[&gt;= 60]])</f>
        <v>535</v>
      </c>
    </row>
    <row r="171" spans="1:14" x14ac:dyDescent="0.3">
      <c r="A171" t="s">
        <v>8</v>
      </c>
      <c r="B171">
        <v>0</v>
      </c>
      <c r="C171">
        <v>31</v>
      </c>
      <c r="D171">
        <v>72</v>
      </c>
      <c r="E171">
        <v>80</v>
      </c>
      <c r="F171">
        <v>72</v>
      </c>
      <c r="G171">
        <v>59</v>
      </c>
      <c r="H171">
        <v>35</v>
      </c>
      <c r="I171">
        <v>26</v>
      </c>
      <c r="J171">
        <v>15</v>
      </c>
      <c r="K171">
        <v>8</v>
      </c>
      <c r="L171" s="1">
        <v>42924</v>
      </c>
      <c r="M171" t="s">
        <v>24</v>
      </c>
      <c r="N171">
        <f>SUM(Table6[[#This Row],[15 ~ 19]:[&gt;= 60]])</f>
        <v>398</v>
      </c>
    </row>
    <row r="172" spans="1:14" x14ac:dyDescent="0.3">
      <c r="A172" t="s">
        <v>8</v>
      </c>
      <c r="B172">
        <v>0</v>
      </c>
      <c r="C172">
        <v>31</v>
      </c>
      <c r="D172">
        <v>102</v>
      </c>
      <c r="E172">
        <v>95</v>
      </c>
      <c r="F172">
        <v>58</v>
      </c>
      <c r="G172">
        <v>55</v>
      </c>
      <c r="H172">
        <v>30</v>
      </c>
      <c r="I172">
        <v>23</v>
      </c>
      <c r="J172">
        <v>14</v>
      </c>
      <c r="K172">
        <v>7</v>
      </c>
      <c r="L172" s="1">
        <v>42968</v>
      </c>
      <c r="M172" t="s">
        <v>25</v>
      </c>
      <c r="N172">
        <f>SUM(Table6[[#This Row],[15 ~ 19]:[&gt;= 60]])</f>
        <v>415</v>
      </c>
    </row>
    <row r="173" spans="1:14" x14ac:dyDescent="0.3">
      <c r="A173" t="s">
        <v>8</v>
      </c>
      <c r="B173">
        <v>0</v>
      </c>
      <c r="C173">
        <v>35</v>
      </c>
      <c r="D173">
        <v>119</v>
      </c>
      <c r="E173">
        <v>143</v>
      </c>
      <c r="F173">
        <v>101</v>
      </c>
      <c r="G173">
        <v>89</v>
      </c>
      <c r="H173">
        <v>49</v>
      </c>
      <c r="I173">
        <v>37</v>
      </c>
      <c r="J173">
        <v>15</v>
      </c>
      <c r="K173">
        <v>11</v>
      </c>
      <c r="L173" s="1">
        <v>42968</v>
      </c>
      <c r="M173" t="s">
        <v>26</v>
      </c>
      <c r="N173">
        <f>SUM(Table6[[#This Row],[15 ~ 19]:[&gt;= 60]])</f>
        <v>599</v>
      </c>
    </row>
    <row r="174" spans="1:14" x14ac:dyDescent="0.3">
      <c r="A174" t="s">
        <v>8</v>
      </c>
      <c r="B174">
        <v>1</v>
      </c>
      <c r="C174">
        <v>54</v>
      </c>
      <c r="D174">
        <v>143</v>
      </c>
      <c r="E174">
        <v>164</v>
      </c>
      <c r="F174">
        <v>111</v>
      </c>
      <c r="G174">
        <v>80</v>
      </c>
      <c r="H174">
        <v>54</v>
      </c>
      <c r="I174">
        <v>38</v>
      </c>
      <c r="J174">
        <v>16</v>
      </c>
      <c r="K174">
        <v>12</v>
      </c>
      <c r="L174" s="1">
        <v>43142</v>
      </c>
      <c r="M174" t="s">
        <v>2</v>
      </c>
      <c r="N174">
        <f>SUM(Table6[[#This Row],[15 ~ 19]:[&gt;= 60]])</f>
        <v>673</v>
      </c>
    </row>
    <row r="175" spans="1:14" x14ac:dyDescent="0.3">
      <c r="A175" t="s">
        <v>8</v>
      </c>
      <c r="B175">
        <v>0</v>
      </c>
      <c r="C175">
        <v>34</v>
      </c>
      <c r="D175">
        <v>111</v>
      </c>
      <c r="E175">
        <v>118</v>
      </c>
      <c r="F175">
        <v>80</v>
      </c>
      <c r="G175">
        <v>72</v>
      </c>
      <c r="H175">
        <v>34</v>
      </c>
      <c r="I175">
        <v>29</v>
      </c>
      <c r="J175">
        <v>16</v>
      </c>
      <c r="K175">
        <v>10</v>
      </c>
      <c r="L175" s="1">
        <v>43231</v>
      </c>
      <c r="M175" t="s">
        <v>24</v>
      </c>
      <c r="N175">
        <f>SUM(Table6[[#This Row],[15 ~ 19]:[&gt;= 60]])</f>
        <v>504</v>
      </c>
    </row>
    <row r="176" spans="1:14" x14ac:dyDescent="0.3">
      <c r="A176" t="s">
        <v>8</v>
      </c>
      <c r="B176">
        <v>0</v>
      </c>
      <c r="C176">
        <v>30</v>
      </c>
      <c r="D176">
        <v>123</v>
      </c>
      <c r="E176">
        <v>137</v>
      </c>
      <c r="F176">
        <v>72</v>
      </c>
      <c r="G176">
        <v>75</v>
      </c>
      <c r="H176">
        <v>56</v>
      </c>
      <c r="I176">
        <v>36</v>
      </c>
      <c r="J176">
        <v>18</v>
      </c>
      <c r="K176">
        <v>19</v>
      </c>
      <c r="L176" s="1">
        <v>43231</v>
      </c>
      <c r="M176" t="s">
        <v>24</v>
      </c>
      <c r="N176">
        <f>SUM(Table6[[#This Row],[15 ~ 19]:[&gt;= 60]])</f>
        <v>566</v>
      </c>
    </row>
    <row r="177" spans="1:14" x14ac:dyDescent="0.3">
      <c r="A177" t="s">
        <v>8</v>
      </c>
      <c r="B177">
        <v>0</v>
      </c>
      <c r="C177">
        <v>14</v>
      </c>
      <c r="D177">
        <v>121</v>
      </c>
      <c r="E177">
        <v>121</v>
      </c>
      <c r="F177">
        <v>65</v>
      </c>
      <c r="G177">
        <v>82</v>
      </c>
      <c r="H177">
        <v>59</v>
      </c>
      <c r="I177">
        <v>21</v>
      </c>
      <c r="J177">
        <v>14</v>
      </c>
      <c r="K177">
        <v>12</v>
      </c>
      <c r="L177" s="1">
        <v>43231</v>
      </c>
      <c r="M177" t="s">
        <v>24</v>
      </c>
      <c r="N177">
        <f>SUM(Table6[[#This Row],[15 ~ 19]:[&gt;= 60]])</f>
        <v>509</v>
      </c>
    </row>
    <row r="178" spans="1:14" x14ac:dyDescent="0.3">
      <c r="A178" t="s">
        <v>7</v>
      </c>
      <c r="B178">
        <v>0</v>
      </c>
      <c r="C178">
        <v>136</v>
      </c>
      <c r="D178">
        <v>727</v>
      </c>
      <c r="E178">
        <v>676</v>
      </c>
      <c r="F178">
        <v>482</v>
      </c>
      <c r="G178">
        <v>249</v>
      </c>
      <c r="H178">
        <v>167</v>
      </c>
      <c r="I178">
        <v>92</v>
      </c>
      <c r="J178">
        <v>64</v>
      </c>
      <c r="K178">
        <v>19</v>
      </c>
      <c r="L178" s="1">
        <v>42405</v>
      </c>
      <c r="M178" t="s">
        <v>2</v>
      </c>
      <c r="N178">
        <f>SUM(Table6[[#This Row],[15 ~ 19]:[&gt;= 60]])</f>
        <v>2612</v>
      </c>
    </row>
    <row r="179" spans="1:14" x14ac:dyDescent="0.3">
      <c r="A179" t="s">
        <v>7</v>
      </c>
      <c r="B179">
        <v>0</v>
      </c>
      <c r="C179">
        <v>104</v>
      </c>
      <c r="D179">
        <v>488</v>
      </c>
      <c r="E179">
        <v>463</v>
      </c>
      <c r="F179">
        <v>363</v>
      </c>
      <c r="G179">
        <v>210</v>
      </c>
      <c r="H179">
        <v>143</v>
      </c>
      <c r="I179">
        <v>92</v>
      </c>
      <c r="J179">
        <v>38</v>
      </c>
      <c r="K179">
        <v>19</v>
      </c>
      <c r="L179" s="1">
        <v>42434</v>
      </c>
      <c r="M179" t="s">
        <v>24</v>
      </c>
      <c r="N179">
        <f>SUM(Table6[[#This Row],[15 ~ 19]:[&gt;= 60]])</f>
        <v>1920</v>
      </c>
    </row>
    <row r="180" spans="1:14" x14ac:dyDescent="0.3">
      <c r="A180" t="s">
        <v>7</v>
      </c>
      <c r="B180">
        <v>2</v>
      </c>
      <c r="C180">
        <v>59</v>
      </c>
      <c r="D180">
        <v>186</v>
      </c>
      <c r="E180">
        <v>211</v>
      </c>
      <c r="F180">
        <v>152</v>
      </c>
      <c r="G180">
        <v>106</v>
      </c>
      <c r="H180">
        <v>79</v>
      </c>
      <c r="I180">
        <v>51</v>
      </c>
      <c r="J180">
        <v>39</v>
      </c>
      <c r="K180">
        <v>16</v>
      </c>
      <c r="L180" s="1">
        <v>42558</v>
      </c>
      <c r="M180" t="s">
        <v>25</v>
      </c>
      <c r="N180">
        <f>SUM(Table6[[#This Row],[15 ~ 19]:[&gt;= 60]])</f>
        <v>901</v>
      </c>
    </row>
    <row r="181" spans="1:14" x14ac:dyDescent="0.3">
      <c r="A181" t="s">
        <v>7</v>
      </c>
      <c r="B181">
        <v>2</v>
      </c>
      <c r="C181">
        <v>40</v>
      </c>
      <c r="D181">
        <v>168</v>
      </c>
      <c r="E181">
        <v>206</v>
      </c>
      <c r="F181">
        <v>147</v>
      </c>
      <c r="G181">
        <v>93</v>
      </c>
      <c r="H181">
        <v>85</v>
      </c>
      <c r="I181">
        <v>46</v>
      </c>
      <c r="J181">
        <v>30</v>
      </c>
      <c r="K181">
        <v>18</v>
      </c>
      <c r="L181" t="s">
        <v>42</v>
      </c>
      <c r="M181" t="s">
        <v>26</v>
      </c>
      <c r="N181">
        <f>SUM(Table6[[#This Row],[15 ~ 19]:[&gt;= 60]])</f>
        <v>835</v>
      </c>
    </row>
    <row r="182" spans="1:14" x14ac:dyDescent="0.3">
      <c r="A182" t="s">
        <v>7</v>
      </c>
      <c r="B182">
        <v>2</v>
      </c>
      <c r="C182">
        <v>35</v>
      </c>
      <c r="D182">
        <v>212</v>
      </c>
      <c r="E182">
        <v>218</v>
      </c>
      <c r="F182">
        <v>191</v>
      </c>
      <c r="G182">
        <v>135</v>
      </c>
      <c r="H182">
        <v>98</v>
      </c>
      <c r="I182">
        <v>63</v>
      </c>
      <c r="J182">
        <v>33</v>
      </c>
      <c r="K182">
        <v>17</v>
      </c>
      <c r="L182" s="1">
        <v>42786</v>
      </c>
      <c r="M182" t="s">
        <v>2</v>
      </c>
      <c r="N182">
        <f>SUM(Table6[[#This Row],[15 ~ 19]:[&gt;= 60]])</f>
        <v>1004</v>
      </c>
    </row>
    <row r="183" spans="1:14" x14ac:dyDescent="0.3">
      <c r="A183" t="s">
        <v>7</v>
      </c>
      <c r="B183">
        <v>1</v>
      </c>
      <c r="C183">
        <v>36</v>
      </c>
      <c r="D183">
        <v>193</v>
      </c>
      <c r="E183">
        <v>218</v>
      </c>
      <c r="F183">
        <v>183</v>
      </c>
      <c r="G183">
        <v>124</v>
      </c>
      <c r="H183">
        <v>78</v>
      </c>
      <c r="I183">
        <v>68</v>
      </c>
      <c r="J183">
        <v>43</v>
      </c>
      <c r="K183">
        <v>9</v>
      </c>
      <c r="L183" s="1">
        <v>42924</v>
      </c>
      <c r="M183" t="s">
        <v>24</v>
      </c>
      <c r="N183">
        <f>SUM(Table6[[#This Row],[15 ~ 19]:[&gt;= 60]])</f>
        <v>953</v>
      </c>
    </row>
    <row r="184" spans="1:14" x14ac:dyDescent="0.3">
      <c r="A184" t="s">
        <v>7</v>
      </c>
      <c r="B184">
        <v>0</v>
      </c>
      <c r="C184">
        <v>31</v>
      </c>
      <c r="D184">
        <v>133</v>
      </c>
      <c r="E184">
        <v>132</v>
      </c>
      <c r="F184">
        <v>110</v>
      </c>
      <c r="G184">
        <v>76</v>
      </c>
      <c r="H184">
        <v>69</v>
      </c>
      <c r="I184">
        <v>45</v>
      </c>
      <c r="J184">
        <v>29</v>
      </c>
      <c r="K184">
        <v>19</v>
      </c>
      <c r="L184" s="1">
        <v>42967</v>
      </c>
      <c r="M184" t="s">
        <v>25</v>
      </c>
      <c r="N184">
        <f>SUM(Table6[[#This Row],[15 ~ 19]:[&gt;= 60]])</f>
        <v>644</v>
      </c>
    </row>
    <row r="185" spans="1:14" x14ac:dyDescent="0.3">
      <c r="A185" t="s">
        <v>7</v>
      </c>
      <c r="B185">
        <v>0</v>
      </c>
      <c r="C185">
        <v>18</v>
      </c>
      <c r="D185">
        <v>146</v>
      </c>
      <c r="E185">
        <v>180</v>
      </c>
      <c r="F185">
        <v>144</v>
      </c>
      <c r="G185">
        <v>93</v>
      </c>
      <c r="H185">
        <v>91</v>
      </c>
      <c r="I185">
        <v>43</v>
      </c>
      <c r="J185">
        <v>29</v>
      </c>
      <c r="K185">
        <v>12</v>
      </c>
      <c r="L185" s="1">
        <v>42967</v>
      </c>
      <c r="M185" t="s">
        <v>26</v>
      </c>
      <c r="N185">
        <f>SUM(Table6[[#This Row],[15 ~ 19]:[&gt;= 60]])</f>
        <v>756</v>
      </c>
    </row>
    <row r="186" spans="1:14" x14ac:dyDescent="0.3">
      <c r="A186" t="s">
        <v>7</v>
      </c>
      <c r="B186">
        <v>0</v>
      </c>
      <c r="C186">
        <v>18</v>
      </c>
      <c r="D186">
        <v>156</v>
      </c>
      <c r="E186">
        <v>233</v>
      </c>
      <c r="F186">
        <v>195</v>
      </c>
      <c r="G186">
        <v>120</v>
      </c>
      <c r="H186">
        <v>88</v>
      </c>
      <c r="I186">
        <v>57</v>
      </c>
      <c r="J186">
        <v>25</v>
      </c>
      <c r="K186">
        <v>18</v>
      </c>
      <c r="L186" s="1">
        <v>43141</v>
      </c>
      <c r="M186" t="s">
        <v>2</v>
      </c>
      <c r="N186">
        <f>SUM(Table6[[#This Row],[15 ~ 19]:[&gt;= 60]])</f>
        <v>910</v>
      </c>
    </row>
    <row r="187" spans="1:14" x14ac:dyDescent="0.3">
      <c r="A187" t="s">
        <v>7</v>
      </c>
      <c r="B187">
        <v>0</v>
      </c>
      <c r="C187">
        <v>15</v>
      </c>
      <c r="D187">
        <v>149</v>
      </c>
      <c r="E187">
        <v>184</v>
      </c>
      <c r="F187">
        <v>149</v>
      </c>
      <c r="G187">
        <v>118</v>
      </c>
      <c r="H187">
        <v>69</v>
      </c>
      <c r="I187">
        <v>53</v>
      </c>
      <c r="J187">
        <v>32</v>
      </c>
      <c r="K187">
        <v>19</v>
      </c>
      <c r="L187" s="1">
        <v>43230</v>
      </c>
      <c r="M187" t="s">
        <v>24</v>
      </c>
      <c r="N187">
        <f>SUM(Table6[[#This Row],[15 ~ 19]:[&gt;= 60]])</f>
        <v>788</v>
      </c>
    </row>
    <row r="188" spans="1:14" x14ac:dyDescent="0.3">
      <c r="A188" t="s">
        <v>7</v>
      </c>
      <c r="B188">
        <v>0</v>
      </c>
      <c r="C188">
        <v>15</v>
      </c>
      <c r="D188">
        <v>94</v>
      </c>
      <c r="E188">
        <v>112</v>
      </c>
      <c r="F188">
        <v>92</v>
      </c>
      <c r="G188">
        <v>58</v>
      </c>
      <c r="H188">
        <v>43</v>
      </c>
      <c r="I188">
        <v>41</v>
      </c>
      <c r="J188">
        <v>19</v>
      </c>
      <c r="K188">
        <v>9</v>
      </c>
      <c r="L188" s="1">
        <v>43230</v>
      </c>
      <c r="M188" t="s">
        <v>24</v>
      </c>
      <c r="N188">
        <f>SUM(Table6[[#This Row],[15 ~ 19]:[&gt;= 60]])</f>
        <v>483</v>
      </c>
    </row>
    <row r="189" spans="1:14" x14ac:dyDescent="0.3">
      <c r="A189" t="s">
        <v>7</v>
      </c>
      <c r="B189">
        <v>1</v>
      </c>
      <c r="C189">
        <v>27</v>
      </c>
      <c r="D189">
        <v>108</v>
      </c>
      <c r="E189">
        <v>131</v>
      </c>
      <c r="F189">
        <v>98</v>
      </c>
      <c r="G189">
        <v>63</v>
      </c>
      <c r="H189">
        <v>43</v>
      </c>
      <c r="I189">
        <v>25</v>
      </c>
      <c r="J189">
        <v>17</v>
      </c>
      <c r="K189">
        <v>11</v>
      </c>
      <c r="L189" s="1">
        <v>43230</v>
      </c>
      <c r="M189" t="s">
        <v>24</v>
      </c>
      <c r="N189">
        <f>SUM(Table6[[#This Row],[15 ~ 19]:[&gt;= 60]])</f>
        <v>524</v>
      </c>
    </row>
    <row r="190" spans="1:14" x14ac:dyDescent="0.3">
      <c r="A190" t="s">
        <v>6</v>
      </c>
      <c r="B190">
        <v>7</v>
      </c>
      <c r="C190">
        <v>219</v>
      </c>
      <c r="D190">
        <v>609</v>
      </c>
      <c r="E190">
        <v>646</v>
      </c>
      <c r="F190">
        <v>488</v>
      </c>
      <c r="G190">
        <v>356</v>
      </c>
      <c r="H190">
        <v>283</v>
      </c>
      <c r="I190">
        <v>192</v>
      </c>
      <c r="J190">
        <v>117</v>
      </c>
      <c r="K190">
        <v>97</v>
      </c>
      <c r="L190" s="1">
        <v>42405</v>
      </c>
      <c r="M190" t="s">
        <v>2</v>
      </c>
      <c r="N190">
        <f>SUM(Table6[[#This Row],[15 ~ 19]:[&gt;= 60]])</f>
        <v>3014</v>
      </c>
    </row>
    <row r="191" spans="1:14" x14ac:dyDescent="0.3">
      <c r="A191" t="s">
        <v>6</v>
      </c>
      <c r="B191">
        <v>7</v>
      </c>
      <c r="C191">
        <v>173</v>
      </c>
      <c r="D191">
        <v>526</v>
      </c>
      <c r="E191">
        <v>518</v>
      </c>
      <c r="F191">
        <v>398</v>
      </c>
      <c r="G191">
        <v>314</v>
      </c>
      <c r="H191">
        <v>232</v>
      </c>
      <c r="I191">
        <v>156</v>
      </c>
      <c r="J191">
        <v>89</v>
      </c>
      <c r="K191">
        <v>66</v>
      </c>
      <c r="L191" s="1">
        <v>42434</v>
      </c>
      <c r="M191" t="s">
        <v>24</v>
      </c>
      <c r="N191">
        <f>SUM(Table6[[#This Row],[15 ~ 19]:[&gt;= 60]])</f>
        <v>2479</v>
      </c>
    </row>
    <row r="192" spans="1:14" x14ac:dyDescent="0.3">
      <c r="A192" t="s">
        <v>6</v>
      </c>
      <c r="B192">
        <v>4</v>
      </c>
      <c r="C192">
        <v>130</v>
      </c>
      <c r="D192">
        <v>354</v>
      </c>
      <c r="E192">
        <v>363</v>
      </c>
      <c r="F192">
        <v>264</v>
      </c>
      <c r="G192">
        <v>209</v>
      </c>
      <c r="H192">
        <v>197</v>
      </c>
      <c r="I192">
        <v>140</v>
      </c>
      <c r="J192">
        <v>77</v>
      </c>
      <c r="K192">
        <v>75</v>
      </c>
      <c r="L192" s="1">
        <v>42558</v>
      </c>
      <c r="M192" t="s">
        <v>25</v>
      </c>
      <c r="N192">
        <f>SUM(Table6[[#This Row],[15 ~ 19]:[&gt;= 60]])</f>
        <v>1813</v>
      </c>
    </row>
    <row r="193" spans="1:14" x14ac:dyDescent="0.3">
      <c r="A193" t="s">
        <v>6</v>
      </c>
      <c r="B193">
        <v>2</v>
      </c>
      <c r="C193">
        <v>110</v>
      </c>
      <c r="D193">
        <v>424</v>
      </c>
      <c r="E193">
        <v>465</v>
      </c>
      <c r="F193">
        <v>363</v>
      </c>
      <c r="G193">
        <v>263</v>
      </c>
      <c r="H193">
        <v>185</v>
      </c>
      <c r="I193">
        <v>142</v>
      </c>
      <c r="J193">
        <v>87</v>
      </c>
      <c r="K193">
        <v>64</v>
      </c>
      <c r="L193" t="s">
        <v>42</v>
      </c>
      <c r="M193" t="s">
        <v>26</v>
      </c>
      <c r="N193">
        <f>SUM(Table6[[#This Row],[15 ~ 19]:[&gt;= 60]])</f>
        <v>2105</v>
      </c>
    </row>
    <row r="194" spans="1:14" x14ac:dyDescent="0.3">
      <c r="A194" t="s">
        <v>6</v>
      </c>
      <c r="B194">
        <v>5</v>
      </c>
      <c r="C194">
        <v>139</v>
      </c>
      <c r="D194">
        <v>430</v>
      </c>
      <c r="E194">
        <v>493</v>
      </c>
      <c r="F194">
        <v>374</v>
      </c>
      <c r="G194">
        <v>285</v>
      </c>
      <c r="H194">
        <v>194</v>
      </c>
      <c r="I194">
        <v>156</v>
      </c>
      <c r="J194">
        <v>95</v>
      </c>
      <c r="K194">
        <v>71</v>
      </c>
      <c r="L194" s="1">
        <v>42785</v>
      </c>
      <c r="M194" t="s">
        <v>2</v>
      </c>
      <c r="N194">
        <f>SUM(Table6[[#This Row],[15 ~ 19]:[&gt;= 60]])</f>
        <v>2242</v>
      </c>
    </row>
    <row r="195" spans="1:14" x14ac:dyDescent="0.3">
      <c r="A195" t="s">
        <v>6</v>
      </c>
      <c r="B195">
        <v>2</v>
      </c>
      <c r="C195">
        <v>87</v>
      </c>
      <c r="D195">
        <v>284</v>
      </c>
      <c r="E195">
        <v>339</v>
      </c>
      <c r="F195">
        <v>235</v>
      </c>
      <c r="G195">
        <v>166</v>
      </c>
      <c r="H195">
        <v>148</v>
      </c>
      <c r="I195">
        <v>79</v>
      </c>
      <c r="J195">
        <v>47</v>
      </c>
      <c r="K195">
        <v>39</v>
      </c>
      <c r="L195" s="1">
        <v>42924</v>
      </c>
      <c r="M195" t="s">
        <v>24</v>
      </c>
      <c r="N195">
        <f>SUM(Table6[[#This Row],[15 ~ 19]:[&gt;= 60]])</f>
        <v>1426</v>
      </c>
    </row>
    <row r="196" spans="1:14" x14ac:dyDescent="0.3">
      <c r="A196" t="s">
        <v>6</v>
      </c>
      <c r="B196">
        <v>1</v>
      </c>
      <c r="C196">
        <v>92</v>
      </c>
      <c r="D196">
        <v>312</v>
      </c>
      <c r="E196">
        <v>397</v>
      </c>
      <c r="F196">
        <v>278</v>
      </c>
      <c r="G196">
        <v>180</v>
      </c>
      <c r="H196">
        <v>141</v>
      </c>
      <c r="I196">
        <v>106</v>
      </c>
      <c r="J196">
        <v>73</v>
      </c>
      <c r="K196">
        <v>57</v>
      </c>
      <c r="L196" s="1">
        <v>42966</v>
      </c>
      <c r="M196" t="s">
        <v>25</v>
      </c>
      <c r="N196">
        <f>SUM(Table6[[#This Row],[15 ~ 19]:[&gt;= 60]])</f>
        <v>1637</v>
      </c>
    </row>
    <row r="197" spans="1:14" x14ac:dyDescent="0.3">
      <c r="A197" t="s">
        <v>6</v>
      </c>
      <c r="B197">
        <v>2</v>
      </c>
      <c r="C197">
        <v>71</v>
      </c>
      <c r="D197">
        <v>351</v>
      </c>
      <c r="E197">
        <v>453</v>
      </c>
      <c r="F197">
        <v>346</v>
      </c>
      <c r="G197">
        <v>254</v>
      </c>
      <c r="H197">
        <v>174</v>
      </c>
      <c r="I197">
        <v>117</v>
      </c>
      <c r="J197">
        <v>79</v>
      </c>
      <c r="K197">
        <v>58</v>
      </c>
      <c r="L197" s="1">
        <v>42966</v>
      </c>
      <c r="M197" t="s">
        <v>26</v>
      </c>
      <c r="N197">
        <f>SUM(Table6[[#This Row],[15 ~ 19]:[&gt;= 60]])</f>
        <v>1905</v>
      </c>
    </row>
    <row r="198" spans="1:14" x14ac:dyDescent="0.3">
      <c r="A198" t="s">
        <v>6</v>
      </c>
      <c r="B198">
        <v>4</v>
      </c>
      <c r="C198">
        <v>103</v>
      </c>
      <c r="D198">
        <v>342</v>
      </c>
      <c r="E198">
        <v>421</v>
      </c>
      <c r="F198">
        <v>307</v>
      </c>
      <c r="G198">
        <v>234</v>
      </c>
      <c r="H198">
        <v>185</v>
      </c>
      <c r="I198">
        <v>119</v>
      </c>
      <c r="J198">
        <v>74</v>
      </c>
      <c r="K198">
        <v>48</v>
      </c>
      <c r="L198" s="1">
        <v>43140</v>
      </c>
      <c r="M198" t="s">
        <v>2</v>
      </c>
      <c r="N198">
        <f>SUM(Table6[[#This Row],[15 ~ 19]:[&gt;= 60]])</f>
        <v>1837</v>
      </c>
    </row>
    <row r="199" spans="1:14" x14ac:dyDescent="0.3">
      <c r="A199" t="s">
        <v>6</v>
      </c>
      <c r="B199">
        <v>3</v>
      </c>
      <c r="C199">
        <v>93</v>
      </c>
      <c r="D199">
        <v>308</v>
      </c>
      <c r="E199">
        <v>335</v>
      </c>
      <c r="F199">
        <v>276</v>
      </c>
      <c r="G199">
        <v>167</v>
      </c>
      <c r="H199">
        <v>137</v>
      </c>
      <c r="I199">
        <v>103</v>
      </c>
      <c r="J199">
        <v>71</v>
      </c>
      <c r="K199">
        <v>44</v>
      </c>
      <c r="L199" s="1">
        <v>43229</v>
      </c>
      <c r="M199" t="s">
        <v>24</v>
      </c>
      <c r="N199">
        <f>SUM(Table6[[#This Row],[15 ~ 19]:[&gt;= 60]])</f>
        <v>1537</v>
      </c>
    </row>
    <row r="200" spans="1:14" x14ac:dyDescent="0.3">
      <c r="A200" t="s">
        <v>6</v>
      </c>
      <c r="B200">
        <v>3</v>
      </c>
      <c r="C200">
        <v>95</v>
      </c>
      <c r="D200">
        <v>265</v>
      </c>
      <c r="E200">
        <v>332</v>
      </c>
      <c r="F200">
        <v>260</v>
      </c>
      <c r="G200">
        <v>204</v>
      </c>
      <c r="H200">
        <v>150</v>
      </c>
      <c r="I200">
        <v>95</v>
      </c>
      <c r="J200">
        <v>68</v>
      </c>
      <c r="K200">
        <v>38</v>
      </c>
      <c r="L200" s="1">
        <v>43229</v>
      </c>
      <c r="M200" t="s">
        <v>24</v>
      </c>
      <c r="N200">
        <f>SUM(Table6[[#This Row],[15 ~ 19]:[&gt;= 60]])</f>
        <v>1510</v>
      </c>
    </row>
    <row r="201" spans="1:14" x14ac:dyDescent="0.3">
      <c r="A201" t="s">
        <v>6</v>
      </c>
      <c r="B201">
        <v>0</v>
      </c>
      <c r="C201">
        <v>59</v>
      </c>
      <c r="D201">
        <v>185</v>
      </c>
      <c r="E201">
        <v>274</v>
      </c>
      <c r="F201">
        <v>234</v>
      </c>
      <c r="G201">
        <v>170</v>
      </c>
      <c r="H201">
        <v>120</v>
      </c>
      <c r="I201">
        <v>82</v>
      </c>
      <c r="J201">
        <v>63</v>
      </c>
      <c r="K201">
        <v>45</v>
      </c>
      <c r="L201" s="1">
        <v>43229</v>
      </c>
      <c r="M201" t="s">
        <v>24</v>
      </c>
      <c r="N201">
        <f>SUM(Table6[[#This Row],[15 ~ 19]:[&gt;= 60]])</f>
        <v>1232</v>
      </c>
    </row>
    <row r="202" spans="1:14" x14ac:dyDescent="0.3">
      <c r="A202" t="s">
        <v>21</v>
      </c>
      <c r="B202">
        <v>0</v>
      </c>
      <c r="C202">
        <v>8</v>
      </c>
      <c r="D202">
        <v>33</v>
      </c>
      <c r="E202">
        <v>25</v>
      </c>
      <c r="F202">
        <v>23</v>
      </c>
      <c r="G202">
        <v>13</v>
      </c>
      <c r="H202">
        <v>5</v>
      </c>
      <c r="I202">
        <v>4</v>
      </c>
      <c r="J202">
        <v>1</v>
      </c>
      <c r="K202">
        <v>2</v>
      </c>
      <c r="L202" s="1">
        <v>42405</v>
      </c>
      <c r="M202" t="s">
        <v>2</v>
      </c>
      <c r="N202">
        <f>SUM(Table6[[#This Row],[15 ~ 19]:[&gt;= 60]])</f>
        <v>114</v>
      </c>
    </row>
    <row r="203" spans="1:14" x14ac:dyDescent="0.3">
      <c r="A203" t="s">
        <v>21</v>
      </c>
      <c r="B203">
        <v>0</v>
      </c>
      <c r="C203">
        <v>5</v>
      </c>
      <c r="D203">
        <v>17</v>
      </c>
      <c r="E203">
        <v>13</v>
      </c>
      <c r="F203">
        <v>11</v>
      </c>
      <c r="G203">
        <v>10</v>
      </c>
      <c r="H203">
        <v>8</v>
      </c>
      <c r="I203">
        <v>2</v>
      </c>
      <c r="J203">
        <v>1</v>
      </c>
      <c r="K203">
        <v>1</v>
      </c>
      <c r="L203" s="1">
        <v>42434</v>
      </c>
      <c r="M203" t="s">
        <v>24</v>
      </c>
      <c r="N203">
        <f>SUM(Table6[[#This Row],[15 ~ 19]:[&gt;= 60]])</f>
        <v>68</v>
      </c>
    </row>
    <row r="204" spans="1:14" x14ac:dyDescent="0.3">
      <c r="A204" t="s">
        <v>21</v>
      </c>
      <c r="B204">
        <v>0</v>
      </c>
      <c r="C204">
        <v>10</v>
      </c>
      <c r="D204">
        <v>16</v>
      </c>
      <c r="E204">
        <v>9</v>
      </c>
      <c r="F204">
        <v>14</v>
      </c>
      <c r="G204">
        <v>6</v>
      </c>
      <c r="H204">
        <v>2</v>
      </c>
      <c r="I204">
        <v>2</v>
      </c>
      <c r="J204">
        <v>0</v>
      </c>
      <c r="K204">
        <v>0</v>
      </c>
      <c r="L204" s="1">
        <v>42558</v>
      </c>
      <c r="M204" t="s">
        <v>25</v>
      </c>
      <c r="N204">
        <f>SUM(Table6[[#This Row],[15 ~ 19]:[&gt;= 60]])</f>
        <v>59</v>
      </c>
    </row>
    <row r="205" spans="1:14" x14ac:dyDescent="0.3">
      <c r="A205" t="s">
        <v>21</v>
      </c>
      <c r="B205">
        <v>0</v>
      </c>
      <c r="C205">
        <v>4</v>
      </c>
      <c r="D205">
        <v>14</v>
      </c>
      <c r="E205">
        <v>9</v>
      </c>
      <c r="F205">
        <v>10</v>
      </c>
      <c r="G205">
        <v>5</v>
      </c>
      <c r="H205">
        <v>3</v>
      </c>
      <c r="I205">
        <v>0</v>
      </c>
      <c r="J205">
        <v>3</v>
      </c>
      <c r="K205">
        <v>1</v>
      </c>
      <c r="L205" t="s">
        <v>42</v>
      </c>
      <c r="M205" t="s">
        <v>26</v>
      </c>
      <c r="N205">
        <f>SUM(Table6[[#This Row],[15 ~ 19]:[&gt;= 60]])</f>
        <v>49</v>
      </c>
    </row>
    <row r="206" spans="1:14" x14ac:dyDescent="0.3">
      <c r="A206" t="s">
        <v>21</v>
      </c>
      <c r="B206">
        <v>0</v>
      </c>
      <c r="C206">
        <v>1</v>
      </c>
      <c r="D206">
        <v>7</v>
      </c>
      <c r="E206">
        <v>12</v>
      </c>
      <c r="F206">
        <v>9</v>
      </c>
      <c r="G206">
        <v>5</v>
      </c>
      <c r="H206">
        <v>4</v>
      </c>
      <c r="I206">
        <v>4</v>
      </c>
      <c r="J206">
        <v>2</v>
      </c>
      <c r="K206">
        <v>0</v>
      </c>
      <c r="L206" s="1">
        <v>42800</v>
      </c>
      <c r="M206" t="s">
        <v>2</v>
      </c>
      <c r="N206">
        <f>SUM(Table6[[#This Row],[15 ~ 19]:[&gt;= 60]])</f>
        <v>44</v>
      </c>
    </row>
    <row r="207" spans="1:14" x14ac:dyDescent="0.3">
      <c r="A207" t="s">
        <v>21</v>
      </c>
      <c r="B207">
        <v>0</v>
      </c>
      <c r="C207">
        <v>7</v>
      </c>
      <c r="D207">
        <v>6</v>
      </c>
      <c r="E207">
        <v>6</v>
      </c>
      <c r="F207">
        <v>3</v>
      </c>
      <c r="G207">
        <v>0</v>
      </c>
      <c r="H207">
        <v>1</v>
      </c>
      <c r="I207">
        <v>1</v>
      </c>
      <c r="J207">
        <v>2</v>
      </c>
      <c r="K207">
        <v>1</v>
      </c>
      <c r="L207" s="1">
        <v>42924</v>
      </c>
      <c r="M207" t="s">
        <v>24</v>
      </c>
      <c r="N207">
        <f>SUM(Table6[[#This Row],[15 ~ 19]:[&gt;= 60]])</f>
        <v>27</v>
      </c>
    </row>
    <row r="208" spans="1:14" x14ac:dyDescent="0.3">
      <c r="A208" t="s">
        <v>21</v>
      </c>
      <c r="B208">
        <v>0</v>
      </c>
      <c r="C208">
        <v>2</v>
      </c>
      <c r="D208">
        <v>3</v>
      </c>
      <c r="E208">
        <v>3</v>
      </c>
      <c r="F208">
        <v>2</v>
      </c>
      <c r="G208">
        <v>1</v>
      </c>
      <c r="H208">
        <v>0</v>
      </c>
      <c r="I208">
        <v>0</v>
      </c>
      <c r="J208">
        <v>1</v>
      </c>
      <c r="K208">
        <v>0</v>
      </c>
      <c r="L208" s="1">
        <v>42980</v>
      </c>
      <c r="M208" t="s">
        <v>25</v>
      </c>
      <c r="N208">
        <f>SUM(Table6[[#This Row],[15 ~ 19]:[&gt;= 60]])</f>
        <v>12</v>
      </c>
    </row>
    <row r="209" spans="1:14" x14ac:dyDescent="0.3">
      <c r="A209" t="s">
        <v>21</v>
      </c>
      <c r="B209">
        <v>0</v>
      </c>
      <c r="C209">
        <v>0</v>
      </c>
      <c r="D209">
        <v>7</v>
      </c>
      <c r="E209">
        <v>7</v>
      </c>
      <c r="F209">
        <v>3</v>
      </c>
      <c r="G209">
        <v>3</v>
      </c>
      <c r="H209">
        <v>3</v>
      </c>
      <c r="I209">
        <v>2</v>
      </c>
      <c r="J209">
        <v>1</v>
      </c>
      <c r="K209">
        <v>0</v>
      </c>
      <c r="L209" s="1">
        <v>42981</v>
      </c>
      <c r="M209" t="s">
        <v>26</v>
      </c>
      <c r="N209">
        <f>SUM(Table6[[#This Row],[15 ~ 19]:[&gt;= 60]])</f>
        <v>26</v>
      </c>
    </row>
    <row r="210" spans="1:14" x14ac:dyDescent="0.3">
      <c r="A210" t="s">
        <v>21</v>
      </c>
      <c r="B210">
        <v>0</v>
      </c>
      <c r="C210">
        <v>1</v>
      </c>
      <c r="D210">
        <v>9</v>
      </c>
      <c r="E210">
        <v>8</v>
      </c>
      <c r="F210">
        <v>6</v>
      </c>
      <c r="G210">
        <v>3</v>
      </c>
      <c r="H210">
        <v>1</v>
      </c>
      <c r="I210">
        <v>3</v>
      </c>
      <c r="J210">
        <v>4</v>
      </c>
      <c r="K210">
        <v>1</v>
      </c>
      <c r="L210" s="1">
        <v>43155</v>
      </c>
      <c r="M210" t="s">
        <v>2</v>
      </c>
      <c r="N210">
        <f>SUM(Table6[[#This Row],[15 ~ 19]:[&gt;= 60]])</f>
        <v>36</v>
      </c>
    </row>
    <row r="211" spans="1:14" x14ac:dyDescent="0.3">
      <c r="A211" t="s">
        <v>21</v>
      </c>
      <c r="B211">
        <v>0</v>
      </c>
      <c r="C211">
        <v>0</v>
      </c>
      <c r="D211">
        <v>3</v>
      </c>
      <c r="E211">
        <v>7</v>
      </c>
      <c r="F211">
        <v>6</v>
      </c>
      <c r="G211">
        <v>5</v>
      </c>
      <c r="H211">
        <v>1</v>
      </c>
      <c r="I211">
        <v>0</v>
      </c>
      <c r="J211">
        <v>1</v>
      </c>
      <c r="K211">
        <v>1</v>
      </c>
      <c r="L211" s="1">
        <v>43244</v>
      </c>
      <c r="M211" t="s">
        <v>24</v>
      </c>
      <c r="N211">
        <f>SUM(Table6[[#This Row],[15 ~ 19]:[&gt;= 60]])</f>
        <v>24</v>
      </c>
    </row>
    <row r="212" spans="1:14" x14ac:dyDescent="0.3">
      <c r="A212" t="s">
        <v>21</v>
      </c>
      <c r="B212">
        <v>0</v>
      </c>
      <c r="C212">
        <v>2</v>
      </c>
      <c r="D212">
        <v>10</v>
      </c>
      <c r="E212">
        <v>6</v>
      </c>
      <c r="F212">
        <v>5</v>
      </c>
      <c r="G212">
        <v>2</v>
      </c>
      <c r="H212">
        <v>3</v>
      </c>
      <c r="I212">
        <v>5</v>
      </c>
      <c r="J212">
        <v>3</v>
      </c>
      <c r="K212">
        <v>0</v>
      </c>
      <c r="L212" s="1">
        <v>43244</v>
      </c>
      <c r="M212" t="s">
        <v>24</v>
      </c>
      <c r="N212">
        <f>SUM(Table6[[#This Row],[15 ~ 19]:[&gt;= 60]])</f>
        <v>36</v>
      </c>
    </row>
    <row r="213" spans="1:14" x14ac:dyDescent="0.3">
      <c r="A213" t="s">
        <v>21</v>
      </c>
      <c r="B213">
        <v>0</v>
      </c>
      <c r="C213">
        <v>0</v>
      </c>
      <c r="D213">
        <v>4</v>
      </c>
      <c r="E213">
        <v>3</v>
      </c>
      <c r="F213">
        <v>10</v>
      </c>
      <c r="G213">
        <v>5</v>
      </c>
      <c r="H213">
        <v>3</v>
      </c>
      <c r="I213">
        <v>0</v>
      </c>
      <c r="J213">
        <v>1</v>
      </c>
      <c r="K213">
        <v>1</v>
      </c>
      <c r="L213" s="1">
        <v>43244</v>
      </c>
      <c r="M213" t="s">
        <v>24</v>
      </c>
      <c r="N213">
        <f>SUM(Table6[[#This Row],[15 ~ 19]:[&gt;= 60]])</f>
        <v>27</v>
      </c>
    </row>
    <row r="214" spans="1:14" x14ac:dyDescent="0.3">
      <c r="A214" t="s">
        <v>17</v>
      </c>
      <c r="B214">
        <v>0</v>
      </c>
      <c r="C214">
        <v>0</v>
      </c>
      <c r="D214">
        <v>2</v>
      </c>
      <c r="E214">
        <v>3</v>
      </c>
      <c r="F214">
        <v>1</v>
      </c>
      <c r="G214">
        <v>2</v>
      </c>
      <c r="H214">
        <v>2</v>
      </c>
      <c r="I214">
        <v>1</v>
      </c>
      <c r="J214">
        <v>0</v>
      </c>
      <c r="K214">
        <v>1</v>
      </c>
      <c r="L214" s="1">
        <v>42405</v>
      </c>
      <c r="M214" t="s">
        <v>2</v>
      </c>
      <c r="N214">
        <f>SUM(Table6[[#This Row],[15 ~ 19]:[&gt;= 60]])</f>
        <v>12</v>
      </c>
    </row>
    <row r="215" spans="1:14" x14ac:dyDescent="0.3">
      <c r="A215" t="s">
        <v>17</v>
      </c>
      <c r="B215">
        <v>0</v>
      </c>
      <c r="C215">
        <v>2</v>
      </c>
      <c r="D215">
        <v>1</v>
      </c>
      <c r="E215">
        <v>1</v>
      </c>
      <c r="F215">
        <v>2</v>
      </c>
      <c r="G215">
        <v>2</v>
      </c>
      <c r="H215">
        <v>0</v>
      </c>
      <c r="I215">
        <v>0</v>
      </c>
      <c r="J215">
        <v>1</v>
      </c>
      <c r="K215">
        <v>0</v>
      </c>
      <c r="L215" s="1">
        <v>42434</v>
      </c>
      <c r="M215" t="s">
        <v>24</v>
      </c>
      <c r="N215">
        <f>SUM(Table6[[#This Row],[15 ~ 19]:[&gt;= 60]])</f>
        <v>9</v>
      </c>
    </row>
    <row r="216" spans="1:14" x14ac:dyDescent="0.3">
      <c r="A216" t="s">
        <v>17</v>
      </c>
      <c r="B216">
        <v>0</v>
      </c>
      <c r="C216">
        <v>0</v>
      </c>
      <c r="D216">
        <v>2</v>
      </c>
      <c r="E216">
        <v>1</v>
      </c>
      <c r="F216">
        <v>2</v>
      </c>
      <c r="G216">
        <v>1</v>
      </c>
      <c r="H216">
        <v>2</v>
      </c>
      <c r="I216">
        <v>1</v>
      </c>
      <c r="J216">
        <v>1</v>
      </c>
      <c r="K216">
        <v>0</v>
      </c>
      <c r="L216" s="1">
        <v>42558</v>
      </c>
      <c r="M216" t="s">
        <v>25</v>
      </c>
      <c r="N216">
        <f>SUM(Table6[[#This Row],[15 ~ 19]:[&gt;= 60]])</f>
        <v>10</v>
      </c>
    </row>
    <row r="217" spans="1:14" x14ac:dyDescent="0.3">
      <c r="A217" t="s">
        <v>17</v>
      </c>
      <c r="B217">
        <v>0</v>
      </c>
      <c r="C217">
        <v>1</v>
      </c>
      <c r="D217">
        <v>1</v>
      </c>
      <c r="E217">
        <v>2</v>
      </c>
      <c r="F217">
        <v>2</v>
      </c>
      <c r="G217">
        <v>0</v>
      </c>
      <c r="H217">
        <v>1</v>
      </c>
      <c r="I217">
        <v>1</v>
      </c>
      <c r="J217">
        <v>1</v>
      </c>
      <c r="K217">
        <v>0</v>
      </c>
      <c r="L217" t="s">
        <v>42</v>
      </c>
      <c r="M217" t="s">
        <v>26</v>
      </c>
      <c r="N217">
        <f>SUM(Table6[[#This Row],[15 ~ 19]:[&gt;= 60]])</f>
        <v>9</v>
      </c>
    </row>
    <row r="218" spans="1:14" x14ac:dyDescent="0.3">
      <c r="A218" t="s">
        <v>17</v>
      </c>
      <c r="B218">
        <v>0</v>
      </c>
      <c r="C218">
        <v>0</v>
      </c>
      <c r="D218">
        <v>2</v>
      </c>
      <c r="E218">
        <v>3</v>
      </c>
      <c r="F218">
        <v>3</v>
      </c>
      <c r="G218">
        <v>0</v>
      </c>
      <c r="H218">
        <v>2</v>
      </c>
      <c r="I218">
        <v>1</v>
      </c>
      <c r="J218">
        <v>0</v>
      </c>
      <c r="K218">
        <v>0</v>
      </c>
      <c r="L218" s="1">
        <v>42796</v>
      </c>
      <c r="M218" t="s">
        <v>2</v>
      </c>
      <c r="N218">
        <f>SUM(Table6[[#This Row],[15 ~ 19]:[&gt;= 60]])</f>
        <v>11</v>
      </c>
    </row>
    <row r="219" spans="1:14" x14ac:dyDescent="0.3">
      <c r="A219" t="s">
        <v>17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2</v>
      </c>
      <c r="H219">
        <v>1</v>
      </c>
      <c r="I219">
        <v>0</v>
      </c>
      <c r="J219">
        <v>0</v>
      </c>
      <c r="K219">
        <v>0</v>
      </c>
      <c r="L219" s="1">
        <v>42924</v>
      </c>
      <c r="M219" t="s">
        <v>24</v>
      </c>
      <c r="N219">
        <f>SUM(Table6[[#This Row],[15 ~ 19]:[&gt;= 60]])</f>
        <v>4</v>
      </c>
    </row>
    <row r="220" spans="1:14" x14ac:dyDescent="0.3">
      <c r="A220" t="s">
        <v>17</v>
      </c>
      <c r="B220">
        <v>0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 s="1">
        <v>42977</v>
      </c>
      <c r="M220" t="s">
        <v>26</v>
      </c>
      <c r="N220">
        <f>SUM(Table6[[#This Row],[15 ~ 19]:[&gt;= 60]])</f>
        <v>4</v>
      </c>
    </row>
    <row r="221" spans="1:14" x14ac:dyDescent="0.3">
      <c r="A221" t="s">
        <v>17</v>
      </c>
      <c r="B221">
        <v>0</v>
      </c>
      <c r="C221">
        <v>0</v>
      </c>
      <c r="D221">
        <v>3</v>
      </c>
      <c r="E221">
        <v>2</v>
      </c>
      <c r="F221">
        <v>2</v>
      </c>
      <c r="G221">
        <v>1</v>
      </c>
      <c r="H221">
        <v>0</v>
      </c>
      <c r="I221">
        <v>0</v>
      </c>
      <c r="J221">
        <v>0</v>
      </c>
      <c r="K221">
        <v>0</v>
      </c>
      <c r="L221" s="1">
        <v>43151</v>
      </c>
      <c r="M221" t="s">
        <v>2</v>
      </c>
      <c r="N221">
        <f>SUM(Table6[[#This Row],[15 ~ 19]:[&gt;= 60]])</f>
        <v>8</v>
      </c>
    </row>
    <row r="222" spans="1:14" x14ac:dyDescent="0.3">
      <c r="A222" t="s">
        <v>17</v>
      </c>
      <c r="B222">
        <v>0</v>
      </c>
      <c r="C222">
        <v>0</v>
      </c>
      <c r="D222">
        <v>0</v>
      </c>
      <c r="E222">
        <v>3</v>
      </c>
      <c r="F222">
        <v>2</v>
      </c>
      <c r="G222">
        <v>1</v>
      </c>
      <c r="H222">
        <v>0</v>
      </c>
      <c r="I222">
        <v>1</v>
      </c>
      <c r="J222">
        <v>0</v>
      </c>
      <c r="K222">
        <v>0</v>
      </c>
      <c r="L222" s="1">
        <v>43240</v>
      </c>
      <c r="M222" t="s">
        <v>24</v>
      </c>
      <c r="N222">
        <f>SUM(Table6[[#This Row],[15 ~ 19]:[&gt;= 60]])</f>
        <v>7</v>
      </c>
    </row>
    <row r="223" spans="1:14" x14ac:dyDescent="0.3">
      <c r="A223" t="s">
        <v>17</v>
      </c>
      <c r="B223">
        <v>0</v>
      </c>
      <c r="C223">
        <v>0</v>
      </c>
      <c r="D223">
        <v>2</v>
      </c>
      <c r="E223">
        <v>2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0</v>
      </c>
      <c r="L223" s="1">
        <v>43240</v>
      </c>
      <c r="M223" t="s">
        <v>24</v>
      </c>
      <c r="N223">
        <f>SUM(Table6[[#This Row],[15 ~ 19]:[&gt;= 60]])</f>
        <v>6</v>
      </c>
    </row>
    <row r="224" spans="1:14" x14ac:dyDescent="0.3">
      <c r="A224" t="s">
        <v>17</v>
      </c>
      <c r="B224">
        <v>0</v>
      </c>
      <c r="C224">
        <v>0</v>
      </c>
      <c r="D224">
        <v>1</v>
      </c>
      <c r="E224">
        <v>2</v>
      </c>
      <c r="F224">
        <v>0</v>
      </c>
      <c r="G224">
        <v>0</v>
      </c>
      <c r="H224">
        <v>1</v>
      </c>
      <c r="I224">
        <v>2</v>
      </c>
      <c r="J224">
        <v>1</v>
      </c>
      <c r="K224">
        <v>0</v>
      </c>
      <c r="L224" s="1">
        <v>43240</v>
      </c>
      <c r="M224" t="s">
        <v>24</v>
      </c>
      <c r="N224">
        <f>SUM(Table6[[#This Row],[15 ~ 19]:[&gt;= 60]])</f>
        <v>7</v>
      </c>
    </row>
    <row r="225" spans="1:14" x14ac:dyDescent="0.3">
      <c r="A225" t="s">
        <v>1</v>
      </c>
      <c r="B225">
        <v>8</v>
      </c>
      <c r="C225">
        <v>248</v>
      </c>
      <c r="D225">
        <v>704</v>
      </c>
      <c r="E225">
        <v>662</v>
      </c>
      <c r="F225">
        <v>523</v>
      </c>
      <c r="G225">
        <v>371</v>
      </c>
      <c r="H225">
        <v>277</v>
      </c>
      <c r="I225">
        <v>179</v>
      </c>
      <c r="J225">
        <v>98</v>
      </c>
      <c r="K225">
        <v>67</v>
      </c>
      <c r="L225" s="1">
        <v>42405</v>
      </c>
      <c r="M225" t="s">
        <v>2</v>
      </c>
      <c r="N225">
        <f>SUM(Table6[[#This Row],[15 ~ 19]:[&gt;= 60]])</f>
        <v>3137</v>
      </c>
    </row>
    <row r="226" spans="1:14" x14ac:dyDescent="0.3">
      <c r="A226" t="s">
        <v>1</v>
      </c>
      <c r="B226">
        <v>4</v>
      </c>
      <c r="C226">
        <v>231</v>
      </c>
      <c r="D226">
        <v>631</v>
      </c>
      <c r="E226">
        <v>638</v>
      </c>
      <c r="F226">
        <v>452</v>
      </c>
      <c r="G226">
        <v>290</v>
      </c>
      <c r="H226">
        <v>250</v>
      </c>
      <c r="I226">
        <v>137</v>
      </c>
      <c r="J226">
        <v>107</v>
      </c>
      <c r="K226">
        <v>75</v>
      </c>
      <c r="L226" s="1">
        <v>42434</v>
      </c>
      <c r="M226" t="s">
        <v>24</v>
      </c>
      <c r="N226">
        <f>SUM(Table6[[#This Row],[15 ~ 19]:[&gt;= 60]])</f>
        <v>2815</v>
      </c>
    </row>
    <row r="227" spans="1:14" x14ac:dyDescent="0.3">
      <c r="A227" t="s">
        <v>1</v>
      </c>
      <c r="B227">
        <v>3</v>
      </c>
      <c r="C227">
        <v>216</v>
      </c>
      <c r="D227">
        <v>520</v>
      </c>
      <c r="E227">
        <v>464</v>
      </c>
      <c r="F227">
        <v>382</v>
      </c>
      <c r="G227">
        <v>226</v>
      </c>
      <c r="H227">
        <v>156</v>
      </c>
      <c r="I227">
        <v>103</v>
      </c>
      <c r="J227">
        <v>79</v>
      </c>
      <c r="K227">
        <v>54</v>
      </c>
      <c r="L227" s="1">
        <v>42558</v>
      </c>
      <c r="M227" t="s">
        <v>25</v>
      </c>
      <c r="N227">
        <f>SUM(Table6[[#This Row],[15 ~ 19]:[&gt;= 60]])</f>
        <v>2203</v>
      </c>
    </row>
    <row r="228" spans="1:14" x14ac:dyDescent="0.3">
      <c r="A228" t="s">
        <v>1</v>
      </c>
      <c r="B228">
        <v>3</v>
      </c>
      <c r="C228">
        <v>138</v>
      </c>
      <c r="D228">
        <v>552</v>
      </c>
      <c r="E228">
        <v>547</v>
      </c>
      <c r="F228">
        <v>454</v>
      </c>
      <c r="G228">
        <v>338</v>
      </c>
      <c r="H228">
        <v>215</v>
      </c>
      <c r="I228">
        <v>153</v>
      </c>
      <c r="J228">
        <v>88</v>
      </c>
      <c r="K228">
        <v>60</v>
      </c>
      <c r="L228" t="s">
        <v>42</v>
      </c>
      <c r="M228" t="s">
        <v>26</v>
      </c>
      <c r="N228">
        <f>SUM(Table6[[#This Row],[15 ~ 19]:[&gt;= 60]])</f>
        <v>2548</v>
      </c>
    </row>
    <row r="229" spans="1:14" x14ac:dyDescent="0.3">
      <c r="A229" t="s">
        <v>1</v>
      </c>
      <c r="B229">
        <v>0</v>
      </c>
      <c r="C229">
        <v>169</v>
      </c>
      <c r="D229">
        <v>551</v>
      </c>
      <c r="E229">
        <v>504</v>
      </c>
      <c r="F229">
        <v>398</v>
      </c>
      <c r="G229">
        <v>308</v>
      </c>
      <c r="H229">
        <v>198</v>
      </c>
      <c r="I229">
        <v>149</v>
      </c>
      <c r="J229">
        <v>93</v>
      </c>
      <c r="K229">
        <v>49</v>
      </c>
      <c r="L229" s="1">
        <v>42781</v>
      </c>
      <c r="M229" t="s">
        <v>2</v>
      </c>
      <c r="N229">
        <f>SUM(Table6[[#This Row],[15 ~ 19]:[&gt;= 60]])</f>
        <v>2419</v>
      </c>
    </row>
    <row r="230" spans="1:14" x14ac:dyDescent="0.3">
      <c r="A230" t="s">
        <v>1</v>
      </c>
      <c r="B230">
        <v>1</v>
      </c>
      <c r="C230">
        <v>122</v>
      </c>
      <c r="D230">
        <v>337</v>
      </c>
      <c r="E230">
        <v>372</v>
      </c>
      <c r="F230">
        <v>242</v>
      </c>
      <c r="G230">
        <v>196</v>
      </c>
      <c r="H230">
        <v>142</v>
      </c>
      <c r="I230">
        <v>99</v>
      </c>
      <c r="J230">
        <v>59</v>
      </c>
      <c r="K230">
        <v>39</v>
      </c>
      <c r="L230" s="1">
        <v>42924</v>
      </c>
      <c r="M230" t="s">
        <v>24</v>
      </c>
      <c r="N230">
        <f>SUM(Table6[[#This Row],[15 ~ 19]:[&gt;= 60]])</f>
        <v>1609</v>
      </c>
    </row>
    <row r="231" spans="1:14" x14ac:dyDescent="0.3">
      <c r="A231" t="s">
        <v>1</v>
      </c>
      <c r="B231">
        <v>1</v>
      </c>
      <c r="C231">
        <v>115</v>
      </c>
      <c r="D231">
        <v>330</v>
      </c>
      <c r="E231">
        <v>333</v>
      </c>
      <c r="F231">
        <v>269</v>
      </c>
      <c r="G231">
        <v>153</v>
      </c>
      <c r="H231">
        <v>150</v>
      </c>
      <c r="I231">
        <v>108</v>
      </c>
      <c r="J231">
        <v>67</v>
      </c>
      <c r="K231">
        <v>41</v>
      </c>
      <c r="L231" s="1">
        <v>42962</v>
      </c>
      <c r="M231" t="s">
        <v>25</v>
      </c>
      <c r="N231">
        <f>SUM(Table6[[#This Row],[15 ~ 19]:[&gt;= 60]])</f>
        <v>1567</v>
      </c>
    </row>
    <row r="232" spans="1:14" x14ac:dyDescent="0.3">
      <c r="A232" t="s">
        <v>1</v>
      </c>
      <c r="B232">
        <v>3</v>
      </c>
      <c r="C232">
        <v>119</v>
      </c>
      <c r="D232">
        <v>446</v>
      </c>
      <c r="E232">
        <v>443</v>
      </c>
      <c r="F232">
        <v>352</v>
      </c>
      <c r="G232">
        <v>269</v>
      </c>
      <c r="H232">
        <v>182</v>
      </c>
      <c r="I232">
        <v>113</v>
      </c>
      <c r="J232">
        <v>83</v>
      </c>
      <c r="K232">
        <v>50</v>
      </c>
      <c r="L232" s="1">
        <v>42962</v>
      </c>
      <c r="M232" t="s">
        <v>26</v>
      </c>
      <c r="N232">
        <f>SUM(Table6[[#This Row],[15 ~ 19]:[&gt;= 60]])</f>
        <v>2060</v>
      </c>
    </row>
    <row r="233" spans="1:14" x14ac:dyDescent="0.3">
      <c r="A233" t="s">
        <v>1</v>
      </c>
      <c r="B233">
        <v>3</v>
      </c>
      <c r="C233">
        <v>112</v>
      </c>
      <c r="D233">
        <v>388</v>
      </c>
      <c r="E233">
        <v>454</v>
      </c>
      <c r="F233">
        <v>358</v>
      </c>
      <c r="G233">
        <v>275</v>
      </c>
      <c r="H233">
        <v>159</v>
      </c>
      <c r="I233">
        <v>124</v>
      </c>
      <c r="J233">
        <v>81</v>
      </c>
      <c r="K233">
        <v>49</v>
      </c>
      <c r="L233" s="1">
        <v>43136</v>
      </c>
      <c r="M233" t="s">
        <v>2</v>
      </c>
      <c r="N233">
        <f>SUM(Table6[[#This Row],[15 ~ 19]:[&gt;= 60]])</f>
        <v>2003</v>
      </c>
    </row>
    <row r="234" spans="1:14" x14ac:dyDescent="0.3">
      <c r="A234" t="s">
        <v>1</v>
      </c>
      <c r="B234">
        <v>2</v>
      </c>
      <c r="C234">
        <v>112</v>
      </c>
      <c r="D234">
        <v>337</v>
      </c>
      <c r="E234">
        <v>347</v>
      </c>
      <c r="F234">
        <v>266</v>
      </c>
      <c r="G234">
        <v>186</v>
      </c>
      <c r="H234">
        <v>130</v>
      </c>
      <c r="I234">
        <v>114</v>
      </c>
      <c r="J234">
        <v>44</v>
      </c>
      <c r="K234">
        <v>52</v>
      </c>
      <c r="L234" s="1">
        <v>43225</v>
      </c>
      <c r="M234" t="s">
        <v>24</v>
      </c>
      <c r="N234">
        <f>SUM(Table6[[#This Row],[15 ~ 19]:[&gt;= 60]])</f>
        <v>1590</v>
      </c>
    </row>
    <row r="235" spans="1:14" x14ac:dyDescent="0.3">
      <c r="A235" t="s">
        <v>1</v>
      </c>
      <c r="B235">
        <v>5</v>
      </c>
      <c r="C235">
        <v>87</v>
      </c>
      <c r="D235">
        <v>322</v>
      </c>
      <c r="E235">
        <v>359</v>
      </c>
      <c r="F235">
        <v>315</v>
      </c>
      <c r="G235">
        <v>214</v>
      </c>
      <c r="H235">
        <v>146</v>
      </c>
      <c r="I235">
        <v>115</v>
      </c>
      <c r="J235">
        <v>62</v>
      </c>
      <c r="K235">
        <v>40</v>
      </c>
      <c r="L235" s="1">
        <v>43225</v>
      </c>
      <c r="M235" t="s">
        <v>24</v>
      </c>
      <c r="N235">
        <f>SUM(Table6[[#This Row],[15 ~ 19]:[&gt;= 60]])</f>
        <v>1665</v>
      </c>
    </row>
    <row r="236" spans="1:14" x14ac:dyDescent="0.3">
      <c r="A236" t="s">
        <v>1</v>
      </c>
      <c r="B236">
        <v>0</v>
      </c>
      <c r="C236">
        <v>73</v>
      </c>
      <c r="D236">
        <v>280</v>
      </c>
      <c r="E236">
        <v>334</v>
      </c>
      <c r="F236">
        <v>264</v>
      </c>
      <c r="G236">
        <v>229</v>
      </c>
      <c r="H236">
        <v>166</v>
      </c>
      <c r="I236">
        <v>114</v>
      </c>
      <c r="J236">
        <v>49</v>
      </c>
      <c r="K236">
        <v>57</v>
      </c>
      <c r="L236" s="1">
        <v>43225</v>
      </c>
      <c r="M236" t="s">
        <v>24</v>
      </c>
      <c r="N236">
        <f>SUM(Table6[[#This Row],[15 ~ 19]:[&gt;= 60]])</f>
        <v>1566</v>
      </c>
    </row>
    <row r="237" spans="1:14" x14ac:dyDescent="0.3">
      <c r="A237" t="s">
        <v>9</v>
      </c>
      <c r="B237">
        <v>0</v>
      </c>
      <c r="C237">
        <v>7</v>
      </c>
      <c r="D237">
        <v>32</v>
      </c>
      <c r="E237">
        <v>34</v>
      </c>
      <c r="F237">
        <v>19</v>
      </c>
      <c r="G237">
        <v>11</v>
      </c>
      <c r="H237">
        <v>9</v>
      </c>
      <c r="I237">
        <v>9</v>
      </c>
      <c r="J237">
        <v>6</v>
      </c>
      <c r="K237">
        <v>4</v>
      </c>
      <c r="L237" s="1">
        <v>42405</v>
      </c>
      <c r="M237" t="s">
        <v>2</v>
      </c>
      <c r="N237">
        <f>SUM(Table6[[#This Row],[15 ~ 19]:[&gt;= 60]])</f>
        <v>131</v>
      </c>
    </row>
    <row r="238" spans="1:14" x14ac:dyDescent="0.3">
      <c r="A238" t="s">
        <v>9</v>
      </c>
      <c r="B238">
        <v>0</v>
      </c>
      <c r="C238">
        <v>3</v>
      </c>
      <c r="D238">
        <v>23</v>
      </c>
      <c r="E238">
        <v>21</v>
      </c>
      <c r="F238">
        <v>15</v>
      </c>
      <c r="G238">
        <v>13</v>
      </c>
      <c r="H238">
        <v>10</v>
      </c>
      <c r="I238">
        <v>5</v>
      </c>
      <c r="J238">
        <v>2</v>
      </c>
      <c r="K238">
        <v>0</v>
      </c>
      <c r="L238" s="1">
        <v>42434</v>
      </c>
      <c r="M238" t="s">
        <v>24</v>
      </c>
      <c r="N238">
        <f>SUM(Table6[[#This Row],[15 ~ 19]:[&gt;= 60]])</f>
        <v>92</v>
      </c>
    </row>
    <row r="239" spans="1:14" x14ac:dyDescent="0.3">
      <c r="A239" t="s">
        <v>9</v>
      </c>
      <c r="B239">
        <v>0</v>
      </c>
      <c r="C239">
        <v>5</v>
      </c>
      <c r="D239">
        <v>17</v>
      </c>
      <c r="E239">
        <v>17</v>
      </c>
      <c r="F239">
        <v>10</v>
      </c>
      <c r="G239">
        <v>9</v>
      </c>
      <c r="H239">
        <v>6</v>
      </c>
      <c r="I239">
        <v>9</v>
      </c>
      <c r="J239">
        <v>1</v>
      </c>
      <c r="K239">
        <v>4</v>
      </c>
      <c r="L239" s="1">
        <v>42558</v>
      </c>
      <c r="M239" t="s">
        <v>25</v>
      </c>
      <c r="N239">
        <f>SUM(Table6[[#This Row],[15 ~ 19]:[&gt;= 60]])</f>
        <v>78</v>
      </c>
    </row>
    <row r="240" spans="1:14" x14ac:dyDescent="0.3">
      <c r="A240" t="s">
        <v>9</v>
      </c>
      <c r="B240">
        <v>0</v>
      </c>
      <c r="C240">
        <v>5</v>
      </c>
      <c r="D240">
        <v>31</v>
      </c>
      <c r="E240">
        <v>18</v>
      </c>
      <c r="F240">
        <v>16</v>
      </c>
      <c r="G240">
        <v>8</v>
      </c>
      <c r="H240">
        <v>9</v>
      </c>
      <c r="I240">
        <v>7</v>
      </c>
      <c r="J240">
        <v>5</v>
      </c>
      <c r="K240">
        <v>3</v>
      </c>
      <c r="L240" t="s">
        <v>42</v>
      </c>
      <c r="M240" t="s">
        <v>26</v>
      </c>
      <c r="N240">
        <f>SUM(Table6[[#This Row],[15 ~ 19]:[&gt;= 60]])</f>
        <v>102</v>
      </c>
    </row>
    <row r="241" spans="1:14" x14ac:dyDescent="0.3">
      <c r="A241" t="s">
        <v>9</v>
      </c>
      <c r="B241">
        <v>0</v>
      </c>
      <c r="C241">
        <v>4</v>
      </c>
      <c r="D241">
        <v>26</v>
      </c>
      <c r="E241">
        <v>13</v>
      </c>
      <c r="F241">
        <v>15</v>
      </c>
      <c r="G241">
        <v>14</v>
      </c>
      <c r="H241">
        <v>10</v>
      </c>
      <c r="I241">
        <v>5</v>
      </c>
      <c r="J241">
        <v>3</v>
      </c>
      <c r="K241">
        <v>2</v>
      </c>
      <c r="L241" s="1">
        <v>42788</v>
      </c>
      <c r="M241" t="s">
        <v>2</v>
      </c>
      <c r="N241">
        <f>SUM(Table6[[#This Row],[15 ~ 19]:[&gt;= 60]])</f>
        <v>92</v>
      </c>
    </row>
    <row r="242" spans="1:14" x14ac:dyDescent="0.3">
      <c r="A242" t="s">
        <v>9</v>
      </c>
      <c r="B242">
        <v>0</v>
      </c>
      <c r="C242">
        <v>1</v>
      </c>
      <c r="D242">
        <v>10</v>
      </c>
      <c r="E242">
        <v>17</v>
      </c>
      <c r="F242">
        <v>4</v>
      </c>
      <c r="G242">
        <v>7</v>
      </c>
      <c r="H242">
        <v>4</v>
      </c>
      <c r="I242">
        <v>5</v>
      </c>
      <c r="J242">
        <v>3</v>
      </c>
      <c r="K242">
        <v>2</v>
      </c>
      <c r="L242" s="1">
        <v>42924</v>
      </c>
      <c r="M242" t="s">
        <v>24</v>
      </c>
      <c r="N242">
        <f>SUM(Table6[[#This Row],[15 ~ 19]:[&gt;= 60]])</f>
        <v>53</v>
      </c>
    </row>
    <row r="243" spans="1:14" x14ac:dyDescent="0.3">
      <c r="A243" t="s">
        <v>9</v>
      </c>
      <c r="B243">
        <v>0</v>
      </c>
      <c r="C243">
        <v>6</v>
      </c>
      <c r="D243">
        <v>16</v>
      </c>
      <c r="E243">
        <v>9</v>
      </c>
      <c r="F243">
        <v>15</v>
      </c>
      <c r="G243">
        <v>6</v>
      </c>
      <c r="H243">
        <v>6</v>
      </c>
      <c r="I243">
        <v>5</v>
      </c>
      <c r="J243">
        <v>3</v>
      </c>
      <c r="K243">
        <v>1</v>
      </c>
      <c r="L243" s="1">
        <v>42969</v>
      </c>
      <c r="M243" t="s">
        <v>25</v>
      </c>
      <c r="N243">
        <f>SUM(Table6[[#This Row],[15 ~ 19]:[&gt;= 60]])</f>
        <v>67</v>
      </c>
    </row>
    <row r="244" spans="1:14" x14ac:dyDescent="0.3">
      <c r="A244" t="s">
        <v>9</v>
      </c>
      <c r="B244">
        <v>0</v>
      </c>
      <c r="C244">
        <v>6</v>
      </c>
      <c r="D244">
        <v>20</v>
      </c>
      <c r="E244">
        <v>19</v>
      </c>
      <c r="F244">
        <v>11</v>
      </c>
      <c r="G244">
        <v>8</v>
      </c>
      <c r="H244">
        <v>6</v>
      </c>
      <c r="I244">
        <v>3</v>
      </c>
      <c r="J244">
        <v>3</v>
      </c>
      <c r="K244">
        <v>2</v>
      </c>
      <c r="L244" s="1">
        <v>42969</v>
      </c>
      <c r="M244" t="s">
        <v>26</v>
      </c>
      <c r="N244">
        <f>SUM(Table6[[#This Row],[15 ~ 19]:[&gt;= 60]])</f>
        <v>78</v>
      </c>
    </row>
    <row r="245" spans="1:14" x14ac:dyDescent="0.3">
      <c r="A245" t="s">
        <v>9</v>
      </c>
      <c r="B245">
        <v>0</v>
      </c>
      <c r="C245">
        <v>2</v>
      </c>
      <c r="D245">
        <v>7</v>
      </c>
      <c r="E245">
        <v>19</v>
      </c>
      <c r="F245">
        <v>6</v>
      </c>
      <c r="G245">
        <v>9</v>
      </c>
      <c r="H245">
        <v>7</v>
      </c>
      <c r="I245">
        <v>2</v>
      </c>
      <c r="J245">
        <v>5</v>
      </c>
      <c r="K245">
        <v>2</v>
      </c>
      <c r="L245" s="1">
        <v>43143</v>
      </c>
      <c r="M245" t="s">
        <v>2</v>
      </c>
      <c r="N245">
        <f>SUM(Table6[[#This Row],[15 ~ 19]:[&gt;= 60]])</f>
        <v>59</v>
      </c>
    </row>
    <row r="246" spans="1:14" x14ac:dyDescent="0.3">
      <c r="A246" t="s">
        <v>9</v>
      </c>
      <c r="B246">
        <v>0</v>
      </c>
      <c r="C246">
        <v>4</v>
      </c>
      <c r="D246">
        <v>21</v>
      </c>
      <c r="E246">
        <v>18</v>
      </c>
      <c r="F246">
        <v>14</v>
      </c>
      <c r="G246">
        <v>9</v>
      </c>
      <c r="H246">
        <v>8</v>
      </c>
      <c r="I246">
        <v>2</v>
      </c>
      <c r="J246">
        <v>3</v>
      </c>
      <c r="K246">
        <v>2</v>
      </c>
      <c r="L246" s="1">
        <v>43232</v>
      </c>
      <c r="M246" t="s">
        <v>24</v>
      </c>
      <c r="N246">
        <f>SUM(Table6[[#This Row],[15 ~ 19]:[&gt;= 60]])</f>
        <v>81</v>
      </c>
    </row>
    <row r="247" spans="1:14" x14ac:dyDescent="0.3">
      <c r="A247" t="s">
        <v>9</v>
      </c>
      <c r="B247">
        <v>0</v>
      </c>
      <c r="C247">
        <v>3</v>
      </c>
      <c r="D247">
        <v>11</v>
      </c>
      <c r="E247">
        <v>14</v>
      </c>
      <c r="F247">
        <v>12</v>
      </c>
      <c r="G247">
        <v>11</v>
      </c>
      <c r="H247">
        <v>11</v>
      </c>
      <c r="I247">
        <v>6</v>
      </c>
      <c r="J247">
        <v>4</v>
      </c>
      <c r="K247">
        <v>1</v>
      </c>
      <c r="L247" s="1">
        <v>43232</v>
      </c>
      <c r="M247" t="s">
        <v>24</v>
      </c>
      <c r="N247">
        <f>SUM(Table6[[#This Row],[15 ~ 19]:[&gt;= 60]])</f>
        <v>73</v>
      </c>
    </row>
    <row r="248" spans="1:14" x14ac:dyDescent="0.3">
      <c r="A248" t="s">
        <v>9</v>
      </c>
      <c r="B248">
        <v>0</v>
      </c>
      <c r="C248">
        <v>2</v>
      </c>
      <c r="D248">
        <v>8</v>
      </c>
      <c r="E248">
        <v>15</v>
      </c>
      <c r="F248">
        <v>9</v>
      </c>
      <c r="G248">
        <v>5</v>
      </c>
      <c r="H248">
        <v>3</v>
      </c>
      <c r="I248">
        <v>5</v>
      </c>
      <c r="J248">
        <v>3</v>
      </c>
      <c r="K248">
        <v>0</v>
      </c>
      <c r="L248" s="1">
        <v>43232</v>
      </c>
      <c r="M248" t="s">
        <v>24</v>
      </c>
      <c r="N248">
        <f>SUM(Table6[[#This Row],[15 ~ 19]:[&gt;= 60]])</f>
        <v>50</v>
      </c>
    </row>
    <row r="249" spans="1:14" x14ac:dyDescent="0.3">
      <c r="A249" t="s">
        <v>11</v>
      </c>
      <c r="B249">
        <v>0</v>
      </c>
      <c r="C249">
        <v>10</v>
      </c>
      <c r="D249">
        <v>28</v>
      </c>
      <c r="E249">
        <v>28</v>
      </c>
      <c r="F249">
        <v>19</v>
      </c>
      <c r="G249">
        <v>17</v>
      </c>
      <c r="H249">
        <v>12</v>
      </c>
      <c r="I249">
        <v>6</v>
      </c>
      <c r="J249">
        <v>5</v>
      </c>
      <c r="K249">
        <v>1</v>
      </c>
      <c r="L249" s="1">
        <v>42405</v>
      </c>
      <c r="M249" t="s">
        <v>2</v>
      </c>
      <c r="N249">
        <f>SUM(Table6[[#This Row],[15 ~ 19]:[&gt;= 60]])</f>
        <v>126</v>
      </c>
    </row>
    <row r="250" spans="1:14" x14ac:dyDescent="0.3">
      <c r="A250" t="s">
        <v>11</v>
      </c>
      <c r="B250">
        <v>0</v>
      </c>
      <c r="C250">
        <v>10</v>
      </c>
      <c r="D250">
        <v>25</v>
      </c>
      <c r="E250">
        <v>24</v>
      </c>
      <c r="F250">
        <v>18</v>
      </c>
      <c r="G250">
        <v>16</v>
      </c>
      <c r="H250">
        <v>12</v>
      </c>
      <c r="I250">
        <v>6</v>
      </c>
      <c r="J250">
        <v>3</v>
      </c>
      <c r="K250">
        <v>3</v>
      </c>
      <c r="L250" s="1">
        <v>42434</v>
      </c>
      <c r="M250" t="s">
        <v>24</v>
      </c>
      <c r="N250">
        <f>SUM(Table6[[#This Row],[15 ~ 19]:[&gt;= 60]])</f>
        <v>117</v>
      </c>
    </row>
    <row r="251" spans="1:14" x14ac:dyDescent="0.3">
      <c r="A251" t="s">
        <v>11</v>
      </c>
      <c r="B251">
        <v>0</v>
      </c>
      <c r="C251">
        <v>9</v>
      </c>
      <c r="D251">
        <v>19</v>
      </c>
      <c r="E251">
        <v>17</v>
      </c>
      <c r="F251">
        <v>10</v>
      </c>
      <c r="G251">
        <v>9</v>
      </c>
      <c r="H251">
        <v>10</v>
      </c>
      <c r="I251">
        <v>4</v>
      </c>
      <c r="J251">
        <v>4</v>
      </c>
      <c r="K251">
        <v>2</v>
      </c>
      <c r="L251" s="1">
        <v>42558</v>
      </c>
      <c r="M251" t="s">
        <v>25</v>
      </c>
      <c r="N251">
        <f>SUM(Table6[[#This Row],[15 ~ 19]:[&gt;= 60]])</f>
        <v>84</v>
      </c>
    </row>
    <row r="252" spans="1:14" x14ac:dyDescent="0.3">
      <c r="A252" t="s">
        <v>11</v>
      </c>
      <c r="B252">
        <v>0</v>
      </c>
      <c r="C252">
        <v>6</v>
      </c>
      <c r="D252">
        <v>16</v>
      </c>
      <c r="E252">
        <v>26</v>
      </c>
      <c r="F252">
        <v>24</v>
      </c>
      <c r="G252">
        <v>10</v>
      </c>
      <c r="H252">
        <v>9</v>
      </c>
      <c r="I252">
        <v>7</v>
      </c>
      <c r="J252">
        <v>10</v>
      </c>
      <c r="K252">
        <v>1</v>
      </c>
      <c r="L252" t="s">
        <v>42</v>
      </c>
      <c r="M252" t="s">
        <v>26</v>
      </c>
      <c r="N252">
        <f>SUM(Table6[[#This Row],[15 ~ 19]:[&gt;= 60]])</f>
        <v>109</v>
      </c>
    </row>
    <row r="253" spans="1:14" x14ac:dyDescent="0.3">
      <c r="A253" t="s">
        <v>11</v>
      </c>
      <c r="B253">
        <v>0</v>
      </c>
      <c r="C253">
        <v>4</v>
      </c>
      <c r="D253">
        <v>32</v>
      </c>
      <c r="E253">
        <v>22</v>
      </c>
      <c r="F253">
        <v>17</v>
      </c>
      <c r="G253">
        <v>15</v>
      </c>
      <c r="H253">
        <v>10</v>
      </c>
      <c r="I253">
        <v>10</v>
      </c>
      <c r="J253">
        <v>4</v>
      </c>
      <c r="K253">
        <v>5</v>
      </c>
      <c r="L253" s="1">
        <v>42790</v>
      </c>
      <c r="M253" t="s">
        <v>2</v>
      </c>
      <c r="N253">
        <f>SUM(Table6[[#This Row],[15 ~ 19]:[&gt;= 60]])</f>
        <v>119</v>
      </c>
    </row>
    <row r="254" spans="1:14" x14ac:dyDescent="0.3">
      <c r="A254" t="s">
        <v>11</v>
      </c>
      <c r="B254">
        <v>0</v>
      </c>
      <c r="C254">
        <v>3</v>
      </c>
      <c r="D254">
        <v>19</v>
      </c>
      <c r="E254">
        <v>10</v>
      </c>
      <c r="F254">
        <v>14</v>
      </c>
      <c r="G254">
        <v>11</v>
      </c>
      <c r="H254">
        <v>7</v>
      </c>
      <c r="I254">
        <v>1</v>
      </c>
      <c r="J254">
        <v>3</v>
      </c>
      <c r="K254">
        <v>0</v>
      </c>
      <c r="L254" s="1">
        <v>42924</v>
      </c>
      <c r="M254" t="s">
        <v>24</v>
      </c>
      <c r="N254">
        <f>SUM(Table6[[#This Row],[15 ~ 19]:[&gt;= 60]])</f>
        <v>68</v>
      </c>
    </row>
    <row r="255" spans="1:14" x14ac:dyDescent="0.3">
      <c r="A255" t="s">
        <v>11</v>
      </c>
      <c r="B255">
        <v>0</v>
      </c>
      <c r="C255">
        <v>2</v>
      </c>
      <c r="D255">
        <v>15</v>
      </c>
      <c r="E255">
        <v>15</v>
      </c>
      <c r="F255">
        <v>15</v>
      </c>
      <c r="G255">
        <v>10</v>
      </c>
      <c r="H255">
        <v>8</v>
      </c>
      <c r="I255">
        <v>3</v>
      </c>
      <c r="J255">
        <v>3</v>
      </c>
      <c r="K255">
        <v>0</v>
      </c>
      <c r="L255" s="1">
        <v>42971</v>
      </c>
      <c r="M255" t="s">
        <v>25</v>
      </c>
      <c r="N255">
        <f>SUM(Table6[[#This Row],[15 ~ 19]:[&gt;= 60]])</f>
        <v>71</v>
      </c>
    </row>
    <row r="256" spans="1:14" x14ac:dyDescent="0.3">
      <c r="A256" t="s">
        <v>11</v>
      </c>
      <c r="B256">
        <v>0</v>
      </c>
      <c r="C256">
        <v>1</v>
      </c>
      <c r="D256">
        <v>16</v>
      </c>
      <c r="E256">
        <v>11</v>
      </c>
      <c r="F256">
        <v>16</v>
      </c>
      <c r="G256">
        <v>8</v>
      </c>
      <c r="H256">
        <v>7</v>
      </c>
      <c r="I256">
        <v>4</v>
      </c>
      <c r="J256">
        <v>3</v>
      </c>
      <c r="K256">
        <v>1</v>
      </c>
      <c r="L256" s="1">
        <v>42971</v>
      </c>
      <c r="M256" t="s">
        <v>26</v>
      </c>
      <c r="N256">
        <f>SUM(Table6[[#This Row],[15 ~ 19]:[&gt;= 60]])</f>
        <v>67</v>
      </c>
    </row>
    <row r="257" spans="1:14" x14ac:dyDescent="0.3">
      <c r="A257" t="s">
        <v>11</v>
      </c>
      <c r="B257">
        <v>0</v>
      </c>
      <c r="C257">
        <v>7</v>
      </c>
      <c r="D257">
        <v>19</v>
      </c>
      <c r="E257">
        <v>15</v>
      </c>
      <c r="F257">
        <v>18</v>
      </c>
      <c r="G257">
        <v>16</v>
      </c>
      <c r="H257">
        <v>12</v>
      </c>
      <c r="I257">
        <v>6</v>
      </c>
      <c r="J257">
        <v>4</v>
      </c>
      <c r="K257">
        <v>7</v>
      </c>
      <c r="L257" s="1">
        <v>43145</v>
      </c>
      <c r="M257" t="s">
        <v>2</v>
      </c>
      <c r="N257">
        <f>SUM(Table6[[#This Row],[15 ~ 19]:[&gt;= 60]])</f>
        <v>104</v>
      </c>
    </row>
    <row r="258" spans="1:14" x14ac:dyDescent="0.3">
      <c r="A258" t="s">
        <v>11</v>
      </c>
      <c r="B258">
        <v>0</v>
      </c>
      <c r="C258">
        <v>7</v>
      </c>
      <c r="D258">
        <v>14</v>
      </c>
      <c r="E258">
        <v>18</v>
      </c>
      <c r="F258">
        <v>7</v>
      </c>
      <c r="G258">
        <v>5</v>
      </c>
      <c r="H258">
        <v>7</v>
      </c>
      <c r="I258">
        <v>7</v>
      </c>
      <c r="J258">
        <v>1</v>
      </c>
      <c r="K258">
        <v>6</v>
      </c>
      <c r="L258" s="1">
        <v>43234</v>
      </c>
      <c r="M258" t="s">
        <v>24</v>
      </c>
      <c r="N258">
        <f>SUM(Table6[[#This Row],[15 ~ 19]:[&gt;= 60]])</f>
        <v>72</v>
      </c>
    </row>
    <row r="259" spans="1:14" x14ac:dyDescent="0.3">
      <c r="A259" t="s">
        <v>11</v>
      </c>
      <c r="B259">
        <v>0</v>
      </c>
      <c r="C259">
        <v>5</v>
      </c>
      <c r="D259">
        <v>14</v>
      </c>
      <c r="E259">
        <v>19</v>
      </c>
      <c r="F259">
        <v>20</v>
      </c>
      <c r="G259">
        <v>11</v>
      </c>
      <c r="H259">
        <v>8</v>
      </c>
      <c r="I259">
        <v>5</v>
      </c>
      <c r="J259">
        <v>2</v>
      </c>
      <c r="K259">
        <v>1</v>
      </c>
      <c r="L259" s="1">
        <v>43234</v>
      </c>
      <c r="M259" t="s">
        <v>24</v>
      </c>
      <c r="N259">
        <f>SUM(Table6[[#This Row],[15 ~ 19]:[&gt;= 60]])</f>
        <v>85</v>
      </c>
    </row>
    <row r="260" spans="1:14" x14ac:dyDescent="0.3">
      <c r="A260" t="s">
        <v>11</v>
      </c>
      <c r="B260">
        <v>0</v>
      </c>
      <c r="C260">
        <v>0</v>
      </c>
      <c r="D260">
        <v>8</v>
      </c>
      <c r="E260">
        <v>18</v>
      </c>
      <c r="F260">
        <v>14</v>
      </c>
      <c r="G260">
        <v>11</v>
      </c>
      <c r="H260">
        <v>5</v>
      </c>
      <c r="I260">
        <v>8</v>
      </c>
      <c r="J260">
        <v>4</v>
      </c>
      <c r="K260">
        <v>1</v>
      </c>
      <c r="L260" s="1">
        <v>43234</v>
      </c>
      <c r="M260" t="s">
        <v>24</v>
      </c>
      <c r="N260">
        <f>SUM(Table6[[#This Row],[15 ~ 19]:[&gt;= 60]])</f>
        <v>69</v>
      </c>
    </row>
    <row r="261" spans="1:14" x14ac:dyDescent="0.3">
      <c r="A261" t="s">
        <v>80</v>
      </c>
      <c r="N261">
        <f>SUBTOTAL(109,Table6[Column1])</f>
        <v>120268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2AE53-F562-4FDB-B215-C9E9926018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Economic_Activity </vt:lpstr>
      <vt:lpstr> Occupation_Group</vt:lpstr>
      <vt:lpstr> Recovery_Situation</vt:lpstr>
      <vt:lpstr>Nationality_and_Gender</vt:lpstr>
      <vt:lpstr> Injury_Cause</vt:lpstr>
      <vt:lpstr> Age_Categories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2023-08-14T07:07:50Z</dcterms:modified>
</cp:coreProperties>
</file>